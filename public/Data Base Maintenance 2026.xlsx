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radit\OneDrive\Desktop\puji\Rapihin TUGAS\PUJI 2026\"/>
    </mc:Choice>
  </mc:AlternateContent>
  <bookViews>
    <workbookView xWindow="0" yWindow="0" windowWidth="23040" windowHeight="9264" firstSheet="3" activeTab="3"/>
  </bookViews>
  <sheets>
    <sheet name="Cara Pengisian" sheetId="14" r:id="rId1"/>
    <sheet name="Main" sheetId="1" r:id="rId2"/>
    <sheet name="Main Data Kunjungan" sheetId="4" r:id="rId3"/>
    <sheet name="Tgl Maintenance untuk Kontrak" sheetId="5" r:id="rId4"/>
    <sheet name="Data Garansi" sheetId="3" r:id="rId5"/>
    <sheet name="Counting Free" sheetId="6" r:id="rId6"/>
    <sheet name="Counting Kontrak" sheetId="2" r:id="rId7"/>
    <sheet name="Tgl MC Free" sheetId="7" r:id="rId8"/>
    <sheet name="Data New Kontrak" sheetId="15" r:id="rId9"/>
  </sheets>
  <definedNames>
    <definedName name="_xlnm._FilterDatabase" localSheetId="5" hidden="1">'Counting Free'!$A$1:$N$322</definedName>
    <definedName name="_xlnm._FilterDatabase" localSheetId="4" hidden="1">'Data Garansi'!$A$1:$R$323</definedName>
    <definedName name="_xlnm._FilterDatabase" localSheetId="1" hidden="1">Main!$A$1:$Q$322</definedName>
    <definedName name="_xlnm._FilterDatabase" localSheetId="3" hidden="1">'Tgl Maintenance untuk Kontrak'!$A$1:$M$375</definedName>
    <definedName name="_xlnm._FilterDatabase" localSheetId="7" hidden="1">'Tgl MC Free'!$A$1:$M$322</definedName>
  </definedNames>
  <calcPr calcId="152511" iterate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4" i="5" l="1"/>
  <c r="G396" i="5"/>
  <c r="I396" i="5" s="1"/>
  <c r="K396" i="5" s="1"/>
  <c r="G397" i="5"/>
  <c r="I397" i="5" s="1"/>
  <c r="K397" i="5" s="1"/>
  <c r="G398" i="5"/>
  <c r="I398" i="5" s="1"/>
  <c r="K398" i="5" s="1"/>
  <c r="G399" i="5"/>
  <c r="I399" i="5" s="1"/>
  <c r="K399" i="5" s="1"/>
  <c r="G400" i="5"/>
  <c r="I400" i="5" s="1"/>
  <c r="K400" i="5" s="1"/>
  <c r="G401" i="5"/>
  <c r="I401" i="5" s="1"/>
  <c r="K401" i="5" s="1"/>
  <c r="G402" i="5"/>
  <c r="I402" i="5" s="1"/>
  <c r="K402" i="5" s="1"/>
  <c r="G403" i="5"/>
  <c r="I403" i="5" s="1"/>
  <c r="K403" i="5" s="1"/>
  <c r="G376" i="5"/>
  <c r="I376" i="5" s="1"/>
  <c r="K376" i="5" s="1"/>
  <c r="G377" i="5"/>
  <c r="I377" i="5" s="1"/>
  <c r="K377" i="5" s="1"/>
  <c r="G378" i="5"/>
  <c r="I378" i="5" s="1"/>
  <c r="K378" i="5" s="1"/>
  <c r="G379" i="5"/>
  <c r="I379" i="5" s="1"/>
  <c r="K379" i="5" s="1"/>
  <c r="G380" i="5"/>
  <c r="I380" i="5" s="1"/>
  <c r="K380" i="5" s="1"/>
  <c r="G381" i="5"/>
  <c r="I381" i="5" s="1"/>
  <c r="K381" i="5" s="1"/>
  <c r="G382" i="5"/>
  <c r="I382" i="5" s="1"/>
  <c r="K382" i="5" s="1"/>
  <c r="G383" i="5"/>
  <c r="I383" i="5" s="1"/>
  <c r="K383" i="5" s="1"/>
  <c r="G384" i="5"/>
  <c r="I384" i="5" s="1"/>
  <c r="K384" i="5" s="1"/>
  <c r="G385" i="5"/>
  <c r="I385" i="5" s="1"/>
  <c r="K385" i="5" s="1"/>
  <c r="G386" i="5"/>
  <c r="I386" i="5" s="1"/>
  <c r="K386" i="5" s="1"/>
  <c r="G387" i="5"/>
  <c r="I387" i="5" s="1"/>
  <c r="K387" i="5" s="1"/>
  <c r="G388" i="5"/>
  <c r="I388" i="5" s="1"/>
  <c r="K388" i="5" s="1"/>
  <c r="G389" i="5"/>
  <c r="I389" i="5" s="1"/>
  <c r="K389" i="5" s="1"/>
  <c r="G390" i="5"/>
  <c r="I390" i="5" s="1"/>
  <c r="K390" i="5" s="1"/>
  <c r="G391" i="5"/>
  <c r="I391" i="5" s="1"/>
  <c r="K391" i="5" s="1"/>
  <c r="G392" i="5"/>
  <c r="I392" i="5" s="1"/>
  <c r="K392" i="5" s="1"/>
  <c r="G393" i="5"/>
  <c r="I393" i="5" s="1"/>
  <c r="K393" i="5" s="1"/>
  <c r="G394" i="5"/>
  <c r="I394" i="5" s="1"/>
  <c r="K394" i="5" s="1"/>
  <c r="G395" i="5"/>
  <c r="I395" i="5" s="1"/>
  <c r="K395" i="5" s="1"/>
  <c r="G375" i="3"/>
  <c r="G376" i="3"/>
  <c r="H376" i="3" s="1"/>
  <c r="I376" i="3" s="1"/>
  <c r="G377" i="3"/>
  <c r="H377" i="3" s="1"/>
  <c r="I377" i="3" s="1"/>
  <c r="G378" i="3"/>
  <c r="H378" i="3" s="1"/>
  <c r="I378" i="3" s="1"/>
  <c r="G379" i="3"/>
  <c r="H379" i="3" s="1"/>
  <c r="I379" i="3" s="1"/>
  <c r="G380" i="3"/>
  <c r="H380" i="3" s="1"/>
  <c r="I380" i="3" s="1"/>
  <c r="G381" i="3"/>
  <c r="H381" i="3" s="1"/>
  <c r="I381" i="3" s="1"/>
  <c r="G382" i="3"/>
  <c r="H382" i="3" s="1"/>
  <c r="I382" i="3" s="1"/>
  <c r="G383" i="3"/>
  <c r="H383" i="3" s="1"/>
  <c r="I383" i="3" s="1"/>
  <c r="G384" i="3"/>
  <c r="H384" i="3" s="1"/>
  <c r="I384" i="3" s="1"/>
  <c r="G385" i="3"/>
  <c r="H385" i="3" s="1"/>
  <c r="I385" i="3" s="1"/>
  <c r="G386" i="3"/>
  <c r="H386" i="3" s="1"/>
  <c r="I386" i="3" s="1"/>
  <c r="G387" i="3"/>
  <c r="H387" i="3" s="1"/>
  <c r="I387" i="3" s="1"/>
  <c r="G388" i="3"/>
  <c r="H388" i="3" s="1"/>
  <c r="I388" i="3" s="1"/>
  <c r="G389" i="3"/>
  <c r="H389" i="3" s="1"/>
  <c r="I389" i="3" s="1"/>
  <c r="G390" i="3"/>
  <c r="H390" i="3" s="1"/>
  <c r="I390" i="3" s="1"/>
  <c r="G391" i="3"/>
  <c r="H391" i="3" s="1"/>
  <c r="I391" i="3" s="1"/>
  <c r="G392" i="3"/>
  <c r="H392" i="3" s="1"/>
  <c r="I392" i="3" s="1"/>
  <c r="G393" i="3"/>
  <c r="H393" i="3" s="1"/>
  <c r="I393" i="3" s="1"/>
  <c r="G361" i="5" l="1"/>
  <c r="G360" i="5"/>
  <c r="G362" i="5"/>
  <c r="G363" i="5"/>
  <c r="G364" i="5"/>
  <c r="G365" i="5"/>
  <c r="G359" i="5"/>
  <c r="E357" i="2" l="1"/>
  <c r="E358" i="2"/>
  <c r="E359" i="2"/>
  <c r="E360" i="2"/>
  <c r="E361" i="2"/>
  <c r="E362" i="2"/>
  <c r="E363" i="2"/>
  <c r="E364" i="2"/>
  <c r="E365" i="2"/>
  <c r="D357" i="2"/>
  <c r="D358" i="2"/>
  <c r="D359" i="2"/>
  <c r="D360" i="2"/>
  <c r="D361" i="2"/>
  <c r="D362" i="2"/>
  <c r="D363" i="2"/>
  <c r="D364" i="2"/>
  <c r="D365" i="2"/>
  <c r="F357" i="6"/>
  <c r="F358" i="6"/>
  <c r="F359" i="6"/>
  <c r="F360" i="6"/>
  <c r="F361" i="6"/>
  <c r="F362" i="6"/>
  <c r="F363" i="6"/>
  <c r="F364" i="6"/>
  <c r="F365" i="6"/>
  <c r="F366" i="6"/>
  <c r="E357" i="6"/>
  <c r="E358" i="6"/>
  <c r="E359" i="6"/>
  <c r="E360" i="6"/>
  <c r="E361" i="6"/>
  <c r="E362" i="6"/>
  <c r="E363" i="6"/>
  <c r="E364" i="6"/>
  <c r="E365" i="6"/>
  <c r="E366" i="6"/>
  <c r="I367" i="5"/>
  <c r="K367" i="5" s="1"/>
  <c r="I371" i="5"/>
  <c r="K371" i="5" s="1"/>
  <c r="I375" i="5"/>
  <c r="K375" i="5" s="1"/>
  <c r="G367" i="5"/>
  <c r="G368" i="5"/>
  <c r="I368" i="5" s="1"/>
  <c r="K368" i="5" s="1"/>
  <c r="G369" i="5"/>
  <c r="I369" i="5" s="1"/>
  <c r="K369" i="5" s="1"/>
  <c r="G370" i="5"/>
  <c r="I370" i="5" s="1"/>
  <c r="K370" i="5" s="1"/>
  <c r="G371" i="5"/>
  <c r="G372" i="5"/>
  <c r="I372" i="5" s="1"/>
  <c r="K372" i="5" s="1"/>
  <c r="G373" i="5"/>
  <c r="I373" i="5" s="1"/>
  <c r="K373" i="5" s="1"/>
  <c r="G374" i="5"/>
  <c r="I374" i="5" s="1"/>
  <c r="K374" i="5" s="1"/>
  <c r="G375" i="5"/>
  <c r="G346" i="5"/>
  <c r="I361" i="5"/>
  <c r="K361" i="5" s="1"/>
  <c r="I362" i="5"/>
  <c r="K362" i="5" s="1"/>
  <c r="I363" i="5"/>
  <c r="K363" i="5" s="1"/>
  <c r="I364" i="5"/>
  <c r="K364" i="5" s="1"/>
  <c r="I365" i="5"/>
  <c r="K365" i="5" s="1"/>
  <c r="G366" i="5"/>
  <c r="I366" i="5" s="1"/>
  <c r="K366" i="5" s="1"/>
  <c r="I360" i="5"/>
  <c r="K360" i="5" s="1"/>
  <c r="I359" i="5"/>
  <c r="K359" i="5" s="1"/>
  <c r="I358" i="5"/>
  <c r="K358" i="5" s="1"/>
  <c r="I357" i="5"/>
  <c r="K357" i="5" s="1"/>
  <c r="H375" i="3"/>
  <c r="I375" i="3" s="1"/>
  <c r="G374" i="3"/>
  <c r="H374" i="3" s="1"/>
  <c r="I374" i="3" s="1"/>
  <c r="G373" i="3"/>
  <c r="H373" i="3" s="1"/>
  <c r="I373" i="3" s="1"/>
  <c r="G372" i="3"/>
  <c r="H372" i="3" s="1"/>
  <c r="I372" i="3" s="1"/>
  <c r="G371" i="3"/>
  <c r="H371" i="3" s="1"/>
  <c r="I371" i="3" s="1"/>
  <c r="G370" i="3"/>
  <c r="H370" i="3" s="1"/>
  <c r="I370" i="3" s="1"/>
  <c r="G369" i="3"/>
  <c r="H369" i="3" s="1"/>
  <c r="I369" i="3" s="1"/>
  <c r="G368" i="3"/>
  <c r="H368" i="3" s="1"/>
  <c r="I368" i="3" s="1"/>
  <c r="G367" i="3"/>
  <c r="H367" i="3" s="1"/>
  <c r="I367" i="3" s="1"/>
  <c r="G366" i="3"/>
  <c r="H366" i="3" s="1"/>
  <c r="I366" i="3" s="1"/>
  <c r="G365" i="3"/>
  <c r="H365" i="3" s="1"/>
  <c r="I365" i="3" s="1"/>
  <c r="G364" i="3"/>
  <c r="H364" i="3" s="1"/>
  <c r="I364" i="3" s="1"/>
  <c r="G363" i="3"/>
  <c r="H363" i="3" s="1"/>
  <c r="I363" i="3" s="1"/>
  <c r="G362" i="3"/>
  <c r="H362" i="3" s="1"/>
  <c r="I362" i="3" s="1"/>
  <c r="G361" i="3"/>
  <c r="H361" i="3" s="1"/>
  <c r="I361" i="3" s="1"/>
  <c r="G360" i="3"/>
  <c r="H360" i="3" s="1"/>
  <c r="I360" i="3" s="1"/>
  <c r="G359" i="3"/>
  <c r="H359" i="3" s="1"/>
  <c r="I359" i="3" s="1"/>
  <c r="G358" i="3"/>
  <c r="H358" i="3" s="1"/>
  <c r="I358" i="3" s="1"/>
  <c r="G357" i="3"/>
  <c r="H357" i="3" s="1"/>
  <c r="I357" i="3" s="1"/>
  <c r="I54" i="5" l="1"/>
  <c r="I325" i="5" l="1"/>
  <c r="I326" i="5"/>
  <c r="I327" i="5"/>
  <c r="I328" i="5"/>
  <c r="I329" i="5"/>
  <c r="I330" i="5"/>
  <c r="I331" i="5"/>
  <c r="I332" i="5"/>
  <c r="I333" i="5"/>
  <c r="I334" i="5"/>
  <c r="I335" i="5"/>
  <c r="I336" i="5"/>
  <c r="I337" i="5"/>
  <c r="I339" i="5"/>
  <c r="I340" i="5"/>
  <c r="I342" i="5"/>
  <c r="I343" i="5"/>
  <c r="I344" i="5"/>
  <c r="I345" i="5"/>
  <c r="I346" i="5"/>
  <c r="I324" i="5"/>
  <c r="K324" i="5" l="1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9" i="5"/>
  <c r="K340" i="5"/>
  <c r="K342" i="5"/>
  <c r="K343" i="5"/>
  <c r="K344" i="5"/>
  <c r="K345" i="5"/>
  <c r="K346" i="5"/>
  <c r="K347" i="5"/>
  <c r="K351" i="5"/>
  <c r="K355" i="5"/>
  <c r="I323" i="5"/>
  <c r="K323" i="5" s="1"/>
  <c r="I321" i="5"/>
  <c r="G338" i="5"/>
  <c r="I338" i="5" s="1"/>
  <c r="K338" i="5" s="1"/>
  <c r="G341" i="5"/>
  <c r="I341" i="5" s="1"/>
  <c r="K341" i="5" s="1"/>
  <c r="G347" i="5"/>
  <c r="I347" i="5" s="1"/>
  <c r="G348" i="5"/>
  <c r="I348" i="5" s="1"/>
  <c r="K348" i="5" s="1"/>
  <c r="G349" i="5"/>
  <c r="I349" i="5" s="1"/>
  <c r="K349" i="5" s="1"/>
  <c r="G350" i="5"/>
  <c r="I350" i="5" s="1"/>
  <c r="K350" i="5" s="1"/>
  <c r="G351" i="5"/>
  <c r="I351" i="5" s="1"/>
  <c r="G352" i="5"/>
  <c r="I352" i="5" s="1"/>
  <c r="K352" i="5" s="1"/>
  <c r="G353" i="5"/>
  <c r="I353" i="5" s="1"/>
  <c r="K353" i="5" s="1"/>
  <c r="G354" i="5"/>
  <c r="I354" i="5" s="1"/>
  <c r="K354" i="5" s="1"/>
  <c r="G355" i="5"/>
  <c r="I355" i="5" s="1"/>
  <c r="G356" i="5"/>
  <c r="I356" i="5" s="1"/>
  <c r="K356" i="5" s="1"/>
  <c r="K322" i="5" l="1"/>
  <c r="C323" i="4" l="1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I356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G348" i="3"/>
  <c r="H348" i="3" s="1"/>
  <c r="I348" i="3" s="1"/>
  <c r="G349" i="3"/>
  <c r="H349" i="3" s="1"/>
  <c r="I349" i="3" s="1"/>
  <c r="G350" i="3"/>
  <c r="H350" i="3" s="1"/>
  <c r="I350" i="3" s="1"/>
  <c r="G351" i="3"/>
  <c r="H351" i="3" s="1"/>
  <c r="I351" i="3" s="1"/>
  <c r="G352" i="3"/>
  <c r="H352" i="3" s="1"/>
  <c r="I352" i="3" s="1"/>
  <c r="G353" i="3"/>
  <c r="H353" i="3" s="1"/>
  <c r="I353" i="3" s="1"/>
  <c r="G354" i="3"/>
  <c r="H354" i="3" s="1"/>
  <c r="I354" i="3" s="1"/>
  <c r="G355" i="3"/>
  <c r="H355" i="3" s="1"/>
  <c r="I355" i="3" s="1"/>
  <c r="G356" i="3"/>
  <c r="H356" i="3" s="1"/>
  <c r="I356" i="3" s="1"/>
  <c r="G347" i="3" l="1"/>
  <c r="H347" i="3" s="1"/>
  <c r="I347" i="3" s="1"/>
  <c r="G346" i="3"/>
  <c r="H346" i="3" s="1"/>
  <c r="I346" i="3" s="1"/>
  <c r="G345" i="3"/>
  <c r="H345" i="3" s="1"/>
  <c r="I345" i="3" s="1"/>
  <c r="G344" i="3"/>
  <c r="H344" i="3" s="1"/>
  <c r="I344" i="3" s="1"/>
  <c r="G343" i="3"/>
  <c r="H343" i="3" s="1"/>
  <c r="I343" i="3" s="1"/>
  <c r="G342" i="3"/>
  <c r="H342" i="3" s="1"/>
  <c r="I342" i="3" s="1"/>
  <c r="G341" i="3"/>
  <c r="H341" i="3" s="1"/>
  <c r="I341" i="3" s="1"/>
  <c r="G340" i="3"/>
  <c r="H340" i="3" s="1"/>
  <c r="I340" i="3" s="1"/>
  <c r="G339" i="3"/>
  <c r="H339" i="3" s="1"/>
  <c r="I339" i="3" s="1"/>
  <c r="G338" i="3"/>
  <c r="H338" i="3" s="1"/>
  <c r="I338" i="3" s="1"/>
  <c r="G337" i="3"/>
  <c r="H337" i="3" s="1"/>
  <c r="I337" i="3" s="1"/>
  <c r="G336" i="3"/>
  <c r="H336" i="3" s="1"/>
  <c r="I336" i="3" s="1"/>
  <c r="G335" i="3"/>
  <c r="H335" i="3" s="1"/>
  <c r="I335" i="3" s="1"/>
  <c r="G334" i="3"/>
  <c r="H334" i="3" s="1"/>
  <c r="I334" i="3" s="1"/>
  <c r="G333" i="3"/>
  <c r="H333" i="3" s="1"/>
  <c r="I333" i="3" s="1"/>
  <c r="G332" i="3"/>
  <c r="H332" i="3" s="1"/>
  <c r="I332" i="3" s="1"/>
  <c r="G331" i="3"/>
  <c r="H331" i="3" s="1"/>
  <c r="I331" i="3" s="1"/>
  <c r="G330" i="3"/>
  <c r="H330" i="3" s="1"/>
  <c r="I330" i="3" s="1"/>
  <c r="G329" i="3"/>
  <c r="H329" i="3" s="1"/>
  <c r="I329" i="3" s="1"/>
  <c r="G328" i="3"/>
  <c r="H328" i="3" s="1"/>
  <c r="I328" i="3" s="1"/>
  <c r="G327" i="3"/>
  <c r="H327" i="3" s="1"/>
  <c r="I327" i="3" s="1"/>
  <c r="G326" i="3"/>
  <c r="H326" i="3" s="1"/>
  <c r="I326" i="3" s="1"/>
  <c r="G325" i="3"/>
  <c r="H325" i="3" s="1"/>
  <c r="I325" i="3" s="1"/>
  <c r="G324" i="3"/>
  <c r="H324" i="3" s="1"/>
  <c r="I324" i="3" s="1"/>
  <c r="G323" i="3"/>
  <c r="H323" i="3" s="1"/>
  <c r="I323" i="3" s="1"/>
  <c r="I21" i="5" l="1"/>
  <c r="G320" i="3" l="1"/>
  <c r="G321" i="3"/>
  <c r="G322" i="3"/>
  <c r="H322" i="3" s="1"/>
  <c r="L135" i="1" l="1"/>
  <c r="L141" i="1"/>
  <c r="L167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2" i="3"/>
  <c r="M104" i="5" l="1"/>
  <c r="L266" i="1" s="1"/>
  <c r="M91" i="5"/>
  <c r="L259" i="1" s="1"/>
  <c r="M81" i="5"/>
  <c r="L250" i="1" s="1"/>
  <c r="M79" i="5"/>
  <c r="L232" i="1" s="1"/>
  <c r="M291" i="5"/>
  <c r="L229" i="1" s="1"/>
  <c r="M36" i="5"/>
  <c r="L222" i="1" s="1"/>
  <c r="M77" i="5"/>
  <c r="L220" i="1" s="1"/>
  <c r="M310" i="5"/>
  <c r="L218" i="1" s="1"/>
  <c r="M73" i="5"/>
  <c r="L215" i="1" s="1"/>
  <c r="I158" i="5" l="1"/>
  <c r="K158" i="5" s="1"/>
  <c r="I178" i="5"/>
  <c r="K178" i="5" s="1"/>
  <c r="I175" i="5"/>
  <c r="K175" i="5" s="1"/>
  <c r="K172" i="5"/>
  <c r="I169" i="5"/>
  <c r="K169" i="5" s="1"/>
  <c r="K173" i="5"/>
  <c r="K161" i="5"/>
  <c r="K167" i="5"/>
  <c r="K164" i="5"/>
  <c r="I170" i="5"/>
  <c r="K170" i="5" s="1"/>
  <c r="K168" i="5"/>
  <c r="I177" i="5"/>
  <c r="K177" i="5" s="1"/>
  <c r="K160" i="5"/>
  <c r="I159" i="5"/>
  <c r="K159" i="5" s="1"/>
  <c r="I156" i="5"/>
  <c r="K156" i="5" s="1"/>
  <c r="I166" i="5"/>
  <c r="K166" i="5" s="1"/>
  <c r="I150" i="5"/>
  <c r="K150" i="5" s="1"/>
  <c r="I174" i="5"/>
  <c r="K174" i="5" s="1"/>
  <c r="K145" i="5"/>
  <c r="K147" i="5"/>
  <c r="I176" i="5"/>
  <c r="K176" i="5" s="1"/>
  <c r="K171" i="5"/>
  <c r="I153" i="5"/>
  <c r="K153" i="5" s="1"/>
  <c r="I318" i="5"/>
  <c r="K318" i="5" s="1"/>
  <c r="K139" i="5"/>
  <c r="K146" i="5"/>
  <c r="I135" i="5"/>
  <c r="K135" i="5" s="1"/>
  <c r="I140" i="5"/>
  <c r="K140" i="5" s="1"/>
  <c r="I165" i="5"/>
  <c r="K165" i="5" s="1"/>
  <c r="K144" i="5"/>
  <c r="I319" i="5"/>
  <c r="K319" i="5" s="1"/>
  <c r="K154" i="5"/>
  <c r="I152" i="5"/>
  <c r="K152" i="5" s="1"/>
  <c r="I137" i="5"/>
  <c r="K137" i="5" s="1"/>
  <c r="I143" i="5"/>
  <c r="K143" i="5" s="1"/>
  <c r="K131" i="5"/>
  <c r="K141" i="5"/>
  <c r="K151" i="5"/>
  <c r="K130" i="5"/>
  <c r="I149" i="5"/>
  <c r="K149" i="5" s="1"/>
  <c r="I142" i="5"/>
  <c r="K142" i="5" s="1"/>
  <c r="K136" i="5"/>
  <c r="I133" i="5"/>
  <c r="K133" i="5" s="1"/>
  <c r="I138" i="5"/>
  <c r="K138" i="5" s="1"/>
  <c r="I134" i="5"/>
  <c r="K134" i="5" s="1"/>
  <c r="K157" i="5"/>
  <c r="K123" i="5"/>
  <c r="I127" i="5"/>
  <c r="K127" i="5" s="1"/>
  <c r="I121" i="5"/>
  <c r="K121" i="5" s="1"/>
  <c r="I126" i="5"/>
  <c r="K126" i="5" s="1"/>
  <c r="K122" i="5"/>
  <c r="I132" i="5"/>
  <c r="K132" i="5" s="1"/>
  <c r="K129" i="5"/>
  <c r="K163" i="5"/>
  <c r="I155" i="5"/>
  <c r="K155" i="5" s="1"/>
  <c r="I320" i="5"/>
  <c r="K320" i="5" s="1"/>
  <c r="I93" i="5"/>
  <c r="K93" i="5" s="1"/>
  <c r="I111" i="5"/>
  <c r="K111" i="5" s="1"/>
  <c r="I120" i="5"/>
  <c r="K120" i="5" s="1"/>
  <c r="K321" i="5"/>
  <c r="I226" i="5"/>
  <c r="K226" i="5" s="1"/>
  <c r="K148" i="5"/>
  <c r="I128" i="5"/>
  <c r="K128" i="5" s="1"/>
  <c r="I225" i="5"/>
  <c r="K225" i="5" s="1"/>
  <c r="K112" i="5"/>
  <c r="I115" i="5"/>
  <c r="K115" i="5" s="1"/>
  <c r="I114" i="5"/>
  <c r="K114" i="5" s="1"/>
  <c r="K125" i="5"/>
  <c r="K117" i="5"/>
  <c r="K224" i="5"/>
  <c r="K119" i="5"/>
  <c r="I222" i="5"/>
  <c r="K222" i="5" s="1"/>
  <c r="K220" i="5"/>
  <c r="I215" i="5"/>
  <c r="K215" i="5" s="1"/>
  <c r="K113" i="5"/>
  <c r="I214" i="5"/>
  <c r="K214" i="5" s="1"/>
  <c r="K227" i="5"/>
  <c r="I207" i="5"/>
  <c r="K207" i="5" s="1"/>
  <c r="I213" i="5"/>
  <c r="K213" i="5" s="1"/>
  <c r="I209" i="5"/>
  <c r="K209" i="5" s="1"/>
  <c r="I201" i="5"/>
  <c r="K201" i="5" s="1"/>
  <c r="K198" i="5"/>
  <c r="I208" i="5"/>
  <c r="K208" i="5" s="1"/>
  <c r="K203" i="5"/>
  <c r="K204" i="5"/>
  <c r="I193" i="5"/>
  <c r="K193" i="5" s="1"/>
  <c r="I192" i="5"/>
  <c r="K192" i="5" s="1"/>
  <c r="I211" i="5"/>
  <c r="K211" i="5" s="1"/>
  <c r="K124" i="5"/>
  <c r="K59" i="5"/>
  <c r="I200" i="5"/>
  <c r="K200" i="5" s="1"/>
  <c r="I197" i="5"/>
  <c r="K197" i="5" s="1"/>
  <c r="I202" i="5"/>
  <c r="K202" i="5" s="1"/>
  <c r="I118" i="5"/>
  <c r="K118" i="5" s="1"/>
  <c r="I196" i="5"/>
  <c r="K196" i="5" s="1"/>
  <c r="I247" i="5"/>
  <c r="K247" i="5" s="1"/>
  <c r="I251" i="5"/>
  <c r="K251" i="5" s="1"/>
  <c r="I248" i="5"/>
  <c r="K248" i="5" s="1"/>
  <c r="I195" i="5"/>
  <c r="K195" i="5" s="1"/>
  <c r="I206" i="5"/>
  <c r="K206" i="5" s="1"/>
  <c r="I239" i="5"/>
  <c r="K239" i="5" s="1"/>
  <c r="K94" i="5"/>
  <c r="I235" i="5"/>
  <c r="K235" i="5" s="1"/>
  <c r="I232" i="5"/>
  <c r="K232" i="5" s="1"/>
  <c r="K230" i="5"/>
  <c r="I95" i="5"/>
  <c r="K95" i="5" s="1"/>
  <c r="K96" i="5"/>
  <c r="I246" i="5"/>
  <c r="K246" i="5" s="1"/>
  <c r="I237" i="5"/>
  <c r="K237" i="5" s="1"/>
  <c r="I238" i="5"/>
  <c r="K238" i="5" s="1"/>
  <c r="K250" i="5"/>
  <c r="K233" i="5"/>
  <c r="I184" i="5"/>
  <c r="K184" i="5" s="1"/>
  <c r="I241" i="5"/>
  <c r="K241" i="5" s="1"/>
  <c r="I245" i="5"/>
  <c r="K245" i="5" s="1"/>
  <c r="I212" i="5"/>
  <c r="K212" i="5" s="1"/>
  <c r="I240" i="5"/>
  <c r="K240" i="5" s="1"/>
  <c r="K316" i="5"/>
  <c r="K249" i="5"/>
  <c r="I185" i="5"/>
  <c r="K185" i="5" s="1"/>
  <c r="K182" i="5"/>
  <c r="K109" i="5"/>
  <c r="I242" i="5"/>
  <c r="K242" i="5" s="1"/>
  <c r="I244" i="5"/>
  <c r="K244" i="5" s="1"/>
  <c r="K231" i="5"/>
  <c r="I228" i="5"/>
  <c r="K228" i="5" s="1"/>
  <c r="K191" i="5"/>
  <c r="I236" i="5"/>
  <c r="K236" i="5" s="1"/>
  <c r="I312" i="5"/>
  <c r="K312" i="5" s="1"/>
  <c r="I254" i="5"/>
  <c r="K254" i="5" s="1"/>
  <c r="I243" i="5"/>
  <c r="K243" i="5" s="1"/>
  <c r="I252" i="5"/>
  <c r="K252" i="5" s="1"/>
  <c r="I253" i="5"/>
  <c r="K253" i="5" s="1"/>
  <c r="I183" i="5"/>
  <c r="K183" i="5" s="1"/>
  <c r="K187" i="5"/>
  <c r="I315" i="5"/>
  <c r="K315" i="5" s="1"/>
  <c r="I210" i="5"/>
  <c r="K210" i="5" s="1"/>
  <c r="I194" i="5"/>
  <c r="K194" i="5" s="1"/>
  <c r="I97" i="5"/>
  <c r="K97" i="5" s="1"/>
  <c r="I108" i="5"/>
  <c r="K108" i="5" s="1"/>
  <c r="I106" i="5"/>
  <c r="K106" i="5" s="1"/>
  <c r="I105" i="5"/>
  <c r="K105" i="5" s="1"/>
  <c r="I189" i="5"/>
  <c r="K189" i="5" s="1"/>
  <c r="I98" i="5"/>
  <c r="K98" i="5" s="1"/>
  <c r="I107" i="5"/>
  <c r="K107" i="5" s="1"/>
  <c r="I99" i="5"/>
  <c r="K99" i="5" s="1"/>
  <c r="I306" i="5"/>
  <c r="K306" i="5" s="1"/>
  <c r="I216" i="5"/>
  <c r="K216" i="5" s="1"/>
  <c r="I311" i="5"/>
  <c r="K311" i="5" s="1"/>
  <c r="K219" i="5"/>
  <c r="I307" i="5"/>
  <c r="K307" i="5" s="1"/>
  <c r="I305" i="5"/>
  <c r="K305" i="5" s="1"/>
  <c r="I304" i="5"/>
  <c r="K304" i="5" s="1"/>
  <c r="K317" i="5"/>
  <c r="K190" i="5"/>
  <c r="K84" i="5"/>
  <c r="I188" i="5"/>
  <c r="K188" i="5" s="1"/>
  <c r="I308" i="5"/>
  <c r="K308" i="5" s="1"/>
  <c r="I309" i="5"/>
  <c r="K309" i="5" s="1"/>
  <c r="K181" i="5"/>
  <c r="I58" i="5"/>
  <c r="K58" i="5" s="1"/>
  <c r="I302" i="5"/>
  <c r="K302" i="5" s="1"/>
  <c r="K60" i="5"/>
  <c r="K229" i="5"/>
  <c r="K61" i="5"/>
  <c r="I53" i="5"/>
  <c r="K53" i="5" s="1"/>
  <c r="K48" i="5"/>
  <c r="I300" i="5"/>
  <c r="K300" i="5" s="1"/>
  <c r="K45" i="5"/>
  <c r="I301" i="5"/>
  <c r="K301" i="5" s="1"/>
  <c r="I298" i="5"/>
  <c r="K298" i="5" s="1"/>
  <c r="I293" i="5"/>
  <c r="K293" i="5" s="1"/>
  <c r="I62" i="5"/>
  <c r="K62" i="5" s="1"/>
  <c r="I63" i="5"/>
  <c r="K63" i="5" s="1"/>
  <c r="I64" i="5"/>
  <c r="K64" i="5" s="1"/>
  <c r="I314" i="5"/>
  <c r="K314" i="5" s="1"/>
  <c r="I100" i="5"/>
  <c r="K100" i="5" s="1"/>
  <c r="I313" i="5"/>
  <c r="K313" i="5" s="1"/>
  <c r="K49" i="5"/>
  <c r="K65" i="5"/>
  <c r="I101" i="5"/>
  <c r="K101" i="5" s="1"/>
  <c r="I186" i="5"/>
  <c r="K186" i="5" s="1"/>
  <c r="I303" i="5"/>
  <c r="K303" i="5" s="1"/>
  <c r="K290" i="5"/>
  <c r="I66" i="5"/>
  <c r="K66" i="5" s="1"/>
  <c r="I67" i="5"/>
  <c r="K67" i="5" s="1"/>
  <c r="I292" i="5"/>
  <c r="K292" i="5" s="1"/>
  <c r="K102" i="5"/>
  <c r="I68" i="5"/>
  <c r="K68" i="5" s="1"/>
  <c r="K39" i="5"/>
  <c r="K103" i="5"/>
  <c r="K69" i="5"/>
  <c r="I287" i="5"/>
  <c r="K287" i="5" s="1"/>
  <c r="I40" i="5"/>
  <c r="K40" i="5" s="1"/>
  <c r="K41" i="5"/>
  <c r="K294" i="5"/>
  <c r="I288" i="5"/>
  <c r="K288" i="5" s="1"/>
  <c r="K70" i="5"/>
  <c r="K199" i="5"/>
  <c r="K46" i="5"/>
  <c r="K71" i="5"/>
  <c r="K72" i="5"/>
  <c r="K38" i="5"/>
  <c r="K88" i="5"/>
  <c r="I284" i="5"/>
  <c r="K284" i="5" s="1"/>
  <c r="I179" i="5"/>
  <c r="K179" i="5" s="1"/>
  <c r="K42" i="5"/>
  <c r="I73" i="5"/>
  <c r="K73" i="5" s="1"/>
  <c r="I74" i="5"/>
  <c r="I75" i="5"/>
  <c r="I310" i="5"/>
  <c r="K310" i="5" s="1"/>
  <c r="I77" i="5"/>
  <c r="K77" i="5" s="1"/>
  <c r="I36" i="5"/>
  <c r="K36" i="5" s="1"/>
  <c r="I257" i="5"/>
  <c r="I87" i="5"/>
  <c r="I286" i="5"/>
  <c r="I52" i="5"/>
  <c r="I291" i="5"/>
  <c r="K291" i="5" s="1"/>
  <c r="I86" i="5"/>
  <c r="I278" i="5"/>
  <c r="I79" i="5"/>
  <c r="K79" i="5" s="1"/>
  <c r="I289" i="5"/>
  <c r="I297" i="5"/>
  <c r="I296" i="5"/>
  <c r="I299" i="5"/>
  <c r="I283" i="5"/>
  <c r="I282" i="5"/>
  <c r="I80" i="5"/>
  <c r="I285" i="5"/>
  <c r="I81" i="5"/>
  <c r="K81" i="5" s="1"/>
  <c r="I234" i="5"/>
  <c r="I30" i="5"/>
  <c r="I272" i="5"/>
  <c r="I281" i="5"/>
  <c r="I91" i="5"/>
  <c r="K91" i="5" s="1"/>
  <c r="I280" i="5"/>
  <c r="I279" i="5"/>
  <c r="I274" i="5"/>
  <c r="I268" i="5"/>
  <c r="I269" i="5"/>
  <c r="I104" i="5"/>
  <c r="K104" i="5" s="1"/>
  <c r="I267" i="5"/>
  <c r="K271" i="5"/>
  <c r="M271" i="5" s="1"/>
  <c r="L273" i="1" s="1"/>
  <c r="I82" i="5"/>
  <c r="I256" i="5"/>
  <c r="I83" i="5"/>
  <c r="I263" i="5"/>
  <c r="I259" i="5"/>
  <c r="I217" i="5"/>
  <c r="I116" i="5"/>
  <c r="M116" i="5" s="1"/>
  <c r="L272" i="1" s="1"/>
  <c r="I162" i="5"/>
  <c r="K162" i="5" s="1"/>
  <c r="K268" i="5" l="1"/>
  <c r="M268" i="5"/>
  <c r="L264" i="1" s="1"/>
  <c r="K296" i="5"/>
  <c r="M296" i="5"/>
  <c r="L237" i="1" s="1"/>
  <c r="K54" i="5"/>
  <c r="M54" i="5"/>
  <c r="L283" i="1" s="1"/>
  <c r="K21" i="5"/>
  <c r="M21" i="5"/>
  <c r="L268" i="1" s="1"/>
  <c r="K52" i="5"/>
  <c r="M52" i="5"/>
  <c r="L227" i="1" s="1"/>
  <c r="K299" i="5"/>
  <c r="M299" i="5"/>
  <c r="L238" i="1" s="1"/>
  <c r="K110" i="5"/>
  <c r="M110" i="5"/>
  <c r="L271" i="1" s="1"/>
  <c r="K80" i="5"/>
  <c r="M80" i="5"/>
  <c r="L245" i="1" s="1"/>
  <c r="K267" i="5"/>
  <c r="M267" i="5"/>
  <c r="L269" i="1" s="1"/>
  <c r="K15" i="5"/>
  <c r="M15" i="5" s="1"/>
  <c r="L284" i="1" s="1"/>
  <c r="K234" i="5"/>
  <c r="M234" i="5"/>
  <c r="L252" i="1" s="1"/>
  <c r="K28" i="5"/>
  <c r="M28" i="5" s="1"/>
  <c r="L251" i="1" s="1"/>
  <c r="K29" i="5"/>
  <c r="M29" i="5"/>
  <c r="L248" i="1" s="1"/>
  <c r="K297" i="5"/>
  <c r="M297" i="5" s="1"/>
  <c r="L236" i="1" s="1"/>
  <c r="K12" i="5"/>
  <c r="M12" i="5" s="1"/>
  <c r="L276" i="1" s="1"/>
  <c r="K286" i="5"/>
  <c r="M286" i="5"/>
  <c r="L226" i="1" s="1"/>
  <c r="K272" i="5"/>
  <c r="M272" i="5"/>
  <c r="L257" i="1" s="1"/>
  <c r="K44" i="5"/>
  <c r="M44" i="5" s="1"/>
  <c r="L255" i="1" s="1"/>
  <c r="K274" i="5"/>
  <c r="M274" i="5"/>
  <c r="L262" i="1" s="1"/>
  <c r="K30" i="5"/>
  <c r="M30" i="5" s="1"/>
  <c r="L253" i="1" s="1"/>
  <c r="K289" i="5"/>
  <c r="M289" i="5"/>
  <c r="L233" i="1" s="1"/>
  <c r="K34" i="5"/>
  <c r="M34" i="5" s="1"/>
  <c r="L241" i="1" s="1"/>
  <c r="M272" i="1"/>
  <c r="E272" i="1"/>
  <c r="K50" i="5"/>
  <c r="M50" i="5" s="1"/>
  <c r="L285" i="1" s="1"/>
  <c r="K285" i="5"/>
  <c r="M285" i="5"/>
  <c r="L247" i="1" s="1"/>
  <c r="K32" i="5"/>
  <c r="M32" i="5" s="1"/>
  <c r="L239" i="1" s="1"/>
  <c r="K278" i="5"/>
  <c r="M278" i="5"/>
  <c r="L231" i="1" s="1"/>
  <c r="K257" i="5"/>
  <c r="M257" i="5" s="1"/>
  <c r="L223" i="1" s="1"/>
  <c r="K10" i="5"/>
  <c r="M10" i="5" s="1"/>
  <c r="L293" i="1" s="1"/>
  <c r="K256" i="5"/>
  <c r="M256" i="5" s="1"/>
  <c r="L281" i="1" s="1"/>
  <c r="K25" i="5"/>
  <c r="M25" i="5" s="1"/>
  <c r="L277" i="1" s="1"/>
  <c r="K280" i="5"/>
  <c r="M280" i="5"/>
  <c r="K282" i="5"/>
  <c r="M282" i="5"/>
  <c r="L243" i="1" s="1"/>
  <c r="K76" i="5"/>
  <c r="M76" i="5" s="1"/>
  <c r="L219" i="1" s="1"/>
  <c r="K263" i="5"/>
  <c r="M263" i="5"/>
  <c r="L296" i="1" s="1"/>
  <c r="K265" i="5"/>
  <c r="M265" i="5" s="1"/>
  <c r="L288" i="1" s="1"/>
  <c r="K266" i="5"/>
  <c r="M266" i="5" s="1"/>
  <c r="L280" i="1" s="1"/>
  <c r="K26" i="5"/>
  <c r="M26" i="5" s="1"/>
  <c r="L254" i="1" s="1"/>
  <c r="K276" i="5"/>
  <c r="M276" i="5" s="1"/>
  <c r="L246" i="1" s="1"/>
  <c r="K86" i="5"/>
  <c r="M86" i="5"/>
  <c r="L230" i="1" s="1"/>
  <c r="K47" i="5"/>
  <c r="M47" i="5" s="1"/>
  <c r="L307" i="1" s="1"/>
  <c r="M17" i="5"/>
  <c r="L291" i="1" s="1"/>
  <c r="K273" i="5"/>
  <c r="M273" i="5" s="1"/>
  <c r="L279" i="1" s="1"/>
  <c r="K24" i="5"/>
  <c r="M24" i="5" s="1"/>
  <c r="L275" i="1" s="1"/>
  <c r="K27" i="5"/>
  <c r="M27" i="5" s="1"/>
  <c r="L270" i="1" s="1"/>
  <c r="K281" i="5"/>
  <c r="M281" i="5" s="1"/>
  <c r="L258" i="1" s="1"/>
  <c r="K33" i="5"/>
  <c r="M33" i="5" s="1"/>
  <c r="L249" i="1" s="1"/>
  <c r="K78" i="5"/>
  <c r="M78" i="5" s="1"/>
  <c r="L225" i="1" s="1"/>
  <c r="K89" i="5"/>
  <c r="M89" i="5" s="1"/>
  <c r="L221" i="1" s="1"/>
  <c r="K75" i="5"/>
  <c r="M75" i="5"/>
  <c r="L217" i="1" s="1"/>
  <c r="K18" i="5"/>
  <c r="M18" i="5" s="1"/>
  <c r="L289" i="1" s="1"/>
  <c r="K31" i="5"/>
  <c r="M31" i="5" s="1"/>
  <c r="L235" i="1" s="1"/>
  <c r="K35" i="5"/>
  <c r="M35" i="5" s="1"/>
  <c r="L267" i="1" s="1"/>
  <c r="K275" i="5"/>
  <c r="M275" i="5" s="1"/>
  <c r="L263" i="1" s="1"/>
  <c r="K43" i="5"/>
  <c r="M43" i="5" s="1"/>
  <c r="L242" i="1" s="1"/>
  <c r="K85" i="5"/>
  <c r="M85" i="5" s="1"/>
  <c r="L234" i="1" s="1"/>
  <c r="K90" i="5"/>
  <c r="M90" i="5" s="1"/>
  <c r="L314" i="1" s="1"/>
  <c r="K11" i="5"/>
  <c r="M11" i="5" s="1"/>
  <c r="L290" i="1" s="1"/>
  <c r="K20" i="5"/>
  <c r="M20" i="5" s="1"/>
  <c r="L286" i="1" s="1"/>
  <c r="K16" i="5"/>
  <c r="M16" i="5" s="1"/>
  <c r="L282" i="1" s="1"/>
  <c r="K22" i="5"/>
  <c r="M22" i="5" s="1"/>
  <c r="L278" i="1" s="1"/>
  <c r="K82" i="5"/>
  <c r="M82" i="5"/>
  <c r="L274" i="1" s="1"/>
  <c r="K269" i="5"/>
  <c r="M269" i="5"/>
  <c r="L265" i="1" s="1"/>
  <c r="K279" i="5"/>
  <c r="M279" i="5"/>
  <c r="K277" i="5"/>
  <c r="M277" i="5" s="1"/>
  <c r="L244" i="1" s="1"/>
  <c r="K283" i="5"/>
  <c r="M283" i="5"/>
  <c r="L240" i="1" s="1"/>
  <c r="K37" i="5"/>
  <c r="M37" i="5" s="1"/>
  <c r="L228" i="1" s="1"/>
  <c r="K87" i="5"/>
  <c r="M87" i="5"/>
  <c r="L224" i="1" s="1"/>
  <c r="K74" i="5"/>
  <c r="M74" i="5"/>
  <c r="L216" i="1" s="1"/>
  <c r="K2" i="5"/>
  <c r="M2" i="5" s="1"/>
  <c r="L315" i="1" s="1"/>
  <c r="K13" i="5"/>
  <c r="M13" i="5" s="1"/>
  <c r="L299" i="1" s="1"/>
  <c r="K14" i="5"/>
  <c r="M14" i="5" s="1"/>
  <c r="L310" i="1" s="1"/>
  <c r="K23" i="5"/>
  <c r="M23" i="5" s="1"/>
  <c r="L311" i="1" s="1"/>
  <c r="K9" i="5"/>
  <c r="M9" i="5" s="1"/>
  <c r="L303" i="1" s="1"/>
  <c r="K261" i="5"/>
  <c r="M261" i="5" s="1"/>
  <c r="L306" i="1" s="1"/>
  <c r="K56" i="5"/>
  <c r="M56" i="5" s="1"/>
  <c r="L298" i="1" s="1"/>
  <c r="K260" i="5"/>
  <c r="M260" i="5" s="1"/>
  <c r="L321" i="1" s="1"/>
  <c r="K51" i="5"/>
  <c r="M51" i="5" s="1"/>
  <c r="L317" i="1" s="1"/>
  <c r="M3" i="5"/>
  <c r="L313" i="1" s="1"/>
  <c r="K180" i="5"/>
  <c r="M180" i="5"/>
  <c r="L309" i="1" s="1"/>
  <c r="K6" i="5"/>
  <c r="M6" i="5" s="1"/>
  <c r="L305" i="1" s="1"/>
  <c r="K270" i="5"/>
  <c r="M270" i="5" s="1"/>
  <c r="L301" i="1" s="1"/>
  <c r="K255" i="5"/>
  <c r="M255" i="5" s="1"/>
  <c r="L297" i="1" s="1"/>
  <c r="K116" i="5"/>
  <c r="K5" i="5"/>
  <c r="M5" i="5" s="1"/>
  <c r="L319" i="1" s="1"/>
  <c r="K83" i="5"/>
  <c r="M83" i="5"/>
  <c r="L295" i="1" s="1"/>
  <c r="K264" i="5"/>
  <c r="M264" i="5" s="1"/>
  <c r="L287" i="1" s="1"/>
  <c r="K7" i="5"/>
  <c r="M7" i="5"/>
  <c r="L322" i="1" s="1"/>
  <c r="K4" i="5"/>
  <c r="M4" i="5" s="1"/>
  <c r="L318" i="1" s="1"/>
  <c r="K19" i="5"/>
  <c r="M19" i="5" s="1"/>
  <c r="L302" i="1" s="1"/>
  <c r="K295" i="5"/>
  <c r="M295" i="5" s="1"/>
  <c r="L294" i="1" s="1"/>
  <c r="K217" i="5"/>
  <c r="M217" i="5"/>
  <c r="L320" i="1" s="1"/>
  <c r="K259" i="5"/>
  <c r="M259" i="5"/>
  <c r="L316" i="1" s="1"/>
  <c r="K258" i="5"/>
  <c r="M258" i="5" s="1"/>
  <c r="L312" i="1" s="1"/>
  <c r="K57" i="5"/>
  <c r="M57" i="5" s="1"/>
  <c r="L308" i="1" s="1"/>
  <c r="K262" i="5"/>
  <c r="M262" i="5" s="1"/>
  <c r="L304" i="1" s="1"/>
  <c r="K8" i="5"/>
  <c r="M8" i="5" s="1"/>
  <c r="L300" i="1" s="1"/>
  <c r="K55" i="5"/>
  <c r="M55" i="5" s="1"/>
  <c r="L292" i="1" s="1"/>
  <c r="K223" i="5"/>
  <c r="M223" i="5" s="1"/>
  <c r="L256" i="1" s="1"/>
  <c r="M256" i="1" s="1"/>
  <c r="K218" i="5"/>
  <c r="M218" i="5" s="1"/>
  <c r="L56" i="1" s="1"/>
  <c r="E56" i="1" s="1"/>
  <c r="G214" i="7"/>
  <c r="M214" i="7" s="1"/>
  <c r="G215" i="7"/>
  <c r="I215" i="7" s="1"/>
  <c r="G216" i="7"/>
  <c r="M216" i="7" s="1"/>
  <c r="G217" i="7"/>
  <c r="I217" i="7" s="1"/>
  <c r="K218" i="1" s="1"/>
  <c r="G218" i="7"/>
  <c r="M218" i="7" s="1"/>
  <c r="G219" i="7"/>
  <c r="I219" i="7" s="1"/>
  <c r="G220" i="7"/>
  <c r="M220" i="7" s="1"/>
  <c r="G221" i="7"/>
  <c r="I221" i="7" s="1"/>
  <c r="K222" i="1" s="1"/>
  <c r="G222" i="7"/>
  <c r="M222" i="7" s="1"/>
  <c r="G223" i="7"/>
  <c r="I223" i="7" s="1"/>
  <c r="G224" i="7"/>
  <c r="M224" i="7" s="1"/>
  <c r="G225" i="7"/>
  <c r="I225" i="7" s="1"/>
  <c r="K226" i="1" s="1"/>
  <c r="G226" i="7"/>
  <c r="M226" i="7" s="1"/>
  <c r="G227" i="7"/>
  <c r="I227" i="7" s="1"/>
  <c r="G228" i="7"/>
  <c r="M228" i="7" s="1"/>
  <c r="G229" i="7"/>
  <c r="I229" i="7" s="1"/>
  <c r="G230" i="7"/>
  <c r="M230" i="7" s="1"/>
  <c r="G231" i="7"/>
  <c r="I231" i="7" s="1"/>
  <c r="K232" i="1" s="1"/>
  <c r="G232" i="7"/>
  <c r="M232" i="7" s="1"/>
  <c r="G233" i="7"/>
  <c r="I233" i="7" s="1"/>
  <c r="K234" i="1" s="1"/>
  <c r="G234" i="7"/>
  <c r="M234" i="7" s="1"/>
  <c r="G235" i="7"/>
  <c r="I235" i="7" s="1"/>
  <c r="G236" i="7"/>
  <c r="M236" i="7" s="1"/>
  <c r="G237" i="7"/>
  <c r="I237" i="7" s="1"/>
  <c r="G238" i="7"/>
  <c r="M238" i="7" s="1"/>
  <c r="G239" i="7"/>
  <c r="I239" i="7" s="1"/>
  <c r="G240" i="7"/>
  <c r="M240" i="7" s="1"/>
  <c r="G241" i="7"/>
  <c r="I241" i="7" s="1"/>
  <c r="K242" i="1" s="1"/>
  <c r="G242" i="7"/>
  <c r="M242" i="7" s="1"/>
  <c r="G243" i="7"/>
  <c r="I243" i="7" s="1"/>
  <c r="G244" i="7"/>
  <c r="M244" i="7" s="1"/>
  <c r="G245" i="7"/>
  <c r="I245" i="7" s="1"/>
  <c r="K246" i="1" s="1"/>
  <c r="G246" i="7"/>
  <c r="M246" i="7" s="1"/>
  <c r="G247" i="7"/>
  <c r="I247" i="7" s="1"/>
  <c r="G248" i="7"/>
  <c r="M248" i="7" s="1"/>
  <c r="G249" i="7"/>
  <c r="I249" i="7" s="1"/>
  <c r="G250" i="7"/>
  <c r="M250" i="7" s="1"/>
  <c r="G251" i="7"/>
  <c r="I251" i="7" s="1"/>
  <c r="K252" i="1" s="1"/>
  <c r="G252" i="7"/>
  <c r="M252" i="7" s="1"/>
  <c r="G253" i="7"/>
  <c r="I253" i="7" s="1"/>
  <c r="K254" i="1" s="1"/>
  <c r="G254" i="7"/>
  <c r="M254" i="7" s="1"/>
  <c r="G255" i="7"/>
  <c r="I255" i="7" s="1"/>
  <c r="G256" i="7"/>
  <c r="M256" i="7" s="1"/>
  <c r="G257" i="7"/>
  <c r="I257" i="7" s="1"/>
  <c r="K259" i="1" s="1"/>
  <c r="G258" i="7"/>
  <c r="M258" i="7" s="1"/>
  <c r="G259" i="7"/>
  <c r="I259" i="7" s="1"/>
  <c r="G260" i="7"/>
  <c r="M260" i="7" s="1"/>
  <c r="G261" i="7"/>
  <c r="I261" i="7" s="1"/>
  <c r="G262" i="7"/>
  <c r="M262" i="7" s="1"/>
  <c r="G263" i="7"/>
  <c r="I263" i="7" s="1"/>
  <c r="K265" i="1" s="1"/>
  <c r="G264" i="7"/>
  <c r="M264" i="7" s="1"/>
  <c r="G265" i="7"/>
  <c r="I265" i="7" s="1"/>
  <c r="G266" i="7"/>
  <c r="M266" i="7" s="1"/>
  <c r="G267" i="7"/>
  <c r="I267" i="7" s="1"/>
  <c r="G268" i="7"/>
  <c r="M268" i="7" s="1"/>
  <c r="G269" i="7"/>
  <c r="I269" i="7" s="1"/>
  <c r="K271" i="1" s="1"/>
  <c r="G270" i="7"/>
  <c r="M270" i="7" s="1"/>
  <c r="G271" i="7"/>
  <c r="I271" i="7" s="1"/>
  <c r="K274" i="1" s="1"/>
  <c r="G272" i="7"/>
  <c r="M272" i="7" s="1"/>
  <c r="G273" i="7"/>
  <c r="I273" i="7" s="1"/>
  <c r="G274" i="7"/>
  <c r="M274" i="7" s="1"/>
  <c r="G275" i="7"/>
  <c r="I275" i="7" s="1"/>
  <c r="K278" i="1" s="1"/>
  <c r="G276" i="7"/>
  <c r="M276" i="7" s="1"/>
  <c r="G277" i="7"/>
  <c r="I277" i="7" s="1"/>
  <c r="G278" i="7"/>
  <c r="M278" i="7" s="1"/>
  <c r="G279" i="7"/>
  <c r="I279" i="7" s="1"/>
  <c r="G280" i="7"/>
  <c r="M280" i="7" s="1"/>
  <c r="G281" i="7"/>
  <c r="I281" i="7" s="1"/>
  <c r="K284" i="1" s="1"/>
  <c r="G282" i="7"/>
  <c r="M282" i="7" s="1"/>
  <c r="G283" i="7"/>
  <c r="I283" i="7" s="1"/>
  <c r="G284" i="7"/>
  <c r="M284" i="7" s="1"/>
  <c r="G285" i="7"/>
  <c r="I285" i="7" s="1"/>
  <c r="G286" i="7"/>
  <c r="M286" i="7" s="1"/>
  <c r="G287" i="7"/>
  <c r="I287" i="7" s="1"/>
  <c r="G288" i="7"/>
  <c r="M288" i="7" s="1"/>
  <c r="G289" i="7"/>
  <c r="I289" i="7" s="1"/>
  <c r="G290" i="7"/>
  <c r="M290" i="7" s="1"/>
  <c r="G291" i="7"/>
  <c r="I291" i="7" s="1"/>
  <c r="G292" i="7"/>
  <c r="M292" i="7" s="1"/>
  <c r="G293" i="7"/>
  <c r="I293" i="7" s="1"/>
  <c r="K296" i="1" s="1"/>
  <c r="G294" i="7"/>
  <c r="M294" i="7" s="1"/>
  <c r="G295" i="7"/>
  <c r="I295" i="7" s="1"/>
  <c r="G296" i="7"/>
  <c r="M296" i="7" s="1"/>
  <c r="G297" i="7"/>
  <c r="I297" i="7" s="1"/>
  <c r="K300" i="1" s="1"/>
  <c r="G298" i="7"/>
  <c r="M298" i="7" s="1"/>
  <c r="G299" i="7"/>
  <c r="I299" i="7" s="1"/>
  <c r="G300" i="7"/>
  <c r="M300" i="7" s="1"/>
  <c r="G301" i="7"/>
  <c r="I301" i="7" s="1"/>
  <c r="K304" i="1" s="1"/>
  <c r="G302" i="7"/>
  <c r="M302" i="7" s="1"/>
  <c r="G303" i="7"/>
  <c r="I303" i="7" s="1"/>
  <c r="K306" i="1" s="1"/>
  <c r="G304" i="7"/>
  <c r="M304" i="7" s="1"/>
  <c r="G305" i="7"/>
  <c r="I305" i="7" s="1"/>
  <c r="G306" i="7"/>
  <c r="M306" i="7" s="1"/>
  <c r="G307" i="7"/>
  <c r="I307" i="7" s="1"/>
  <c r="G308" i="7"/>
  <c r="M308" i="7" s="1"/>
  <c r="G309" i="7"/>
  <c r="I309" i="7" s="1"/>
  <c r="G310" i="7"/>
  <c r="M310" i="7" s="1"/>
  <c r="G311" i="7"/>
  <c r="I311" i="7" s="1"/>
  <c r="G312" i="7"/>
  <c r="M312" i="7" s="1"/>
  <c r="G313" i="7"/>
  <c r="I313" i="7" s="1"/>
  <c r="G314" i="7"/>
  <c r="M314" i="7" s="1"/>
  <c r="G315" i="7"/>
  <c r="I315" i="7" s="1"/>
  <c r="G316" i="7"/>
  <c r="M316" i="7" s="1"/>
  <c r="G317" i="7"/>
  <c r="I317" i="7" s="1"/>
  <c r="G318" i="7"/>
  <c r="M318" i="7" s="1"/>
  <c r="G319" i="7"/>
  <c r="I319" i="7" s="1"/>
  <c r="G320" i="7"/>
  <c r="M320" i="7" s="1"/>
  <c r="G321" i="7"/>
  <c r="I321" i="7" s="1"/>
  <c r="K56" i="1" s="1"/>
  <c r="G322" i="7"/>
  <c r="M322" i="7" s="1"/>
  <c r="D322" i="2"/>
  <c r="E322" i="2" s="1"/>
  <c r="I256" i="1" s="1"/>
  <c r="D321" i="2"/>
  <c r="E321" i="2" s="1"/>
  <c r="I56" i="1" s="1"/>
  <c r="D320" i="2"/>
  <c r="E320" i="2" s="1"/>
  <c r="I272" i="1" s="1"/>
  <c r="D319" i="2"/>
  <c r="E319" i="2" s="1"/>
  <c r="D318" i="2"/>
  <c r="E318" i="2" s="1"/>
  <c r="I321" i="1" s="1"/>
  <c r="D317" i="2"/>
  <c r="E317" i="2" s="1"/>
  <c r="I320" i="1" s="1"/>
  <c r="D316" i="2"/>
  <c r="E316" i="2" s="1"/>
  <c r="I319" i="1" s="1"/>
  <c r="D315" i="2"/>
  <c r="E315" i="2" s="1"/>
  <c r="C315" i="4" s="1"/>
  <c r="D314" i="2"/>
  <c r="E314" i="2" s="1"/>
  <c r="C314" i="4" s="1"/>
  <c r="D313" i="2"/>
  <c r="E313" i="2" s="1"/>
  <c r="C313" i="4" s="1"/>
  <c r="D312" i="2"/>
  <c r="E312" i="2" s="1"/>
  <c r="C312" i="4" s="1"/>
  <c r="D311" i="2"/>
  <c r="E311" i="2" s="1"/>
  <c r="D310" i="2"/>
  <c r="E310" i="2" s="1"/>
  <c r="I313" i="1" s="1"/>
  <c r="D309" i="2"/>
  <c r="E309" i="2" s="1"/>
  <c r="I312" i="1" s="1"/>
  <c r="D308" i="2"/>
  <c r="E308" i="2" s="1"/>
  <c r="I311" i="1" s="1"/>
  <c r="D307" i="2"/>
  <c r="E307" i="2" s="1"/>
  <c r="D306" i="2"/>
  <c r="E306" i="2" s="1"/>
  <c r="I309" i="1" s="1"/>
  <c r="D305" i="2"/>
  <c r="E305" i="2" s="1"/>
  <c r="I308" i="1" s="1"/>
  <c r="D304" i="2"/>
  <c r="E304" i="2" s="1"/>
  <c r="I307" i="1" s="1"/>
  <c r="D303" i="2"/>
  <c r="E303" i="2" s="1"/>
  <c r="D302" i="2"/>
  <c r="E302" i="2" s="1"/>
  <c r="I305" i="1" s="1"/>
  <c r="D301" i="2"/>
  <c r="E301" i="2" s="1"/>
  <c r="I304" i="1" s="1"/>
  <c r="D300" i="2"/>
  <c r="E300" i="2" s="1"/>
  <c r="I303" i="1" s="1"/>
  <c r="D299" i="2"/>
  <c r="E299" i="2" s="1"/>
  <c r="D298" i="2"/>
  <c r="E298" i="2" s="1"/>
  <c r="C298" i="4" s="1"/>
  <c r="D297" i="2"/>
  <c r="E297" i="2" s="1"/>
  <c r="C297" i="4" s="1"/>
  <c r="D296" i="2"/>
  <c r="E296" i="2" s="1"/>
  <c r="I299" i="1" s="1"/>
  <c r="D295" i="2"/>
  <c r="E295" i="2" s="1"/>
  <c r="D294" i="2"/>
  <c r="E294" i="2" s="1"/>
  <c r="I297" i="1" s="1"/>
  <c r="D293" i="2"/>
  <c r="E293" i="2" s="1"/>
  <c r="I296" i="1" s="1"/>
  <c r="D292" i="2"/>
  <c r="E292" i="2" s="1"/>
  <c r="I295" i="1" s="1"/>
  <c r="D291" i="2"/>
  <c r="E291" i="2" s="1"/>
  <c r="D290" i="2"/>
  <c r="E290" i="2" s="1"/>
  <c r="I293" i="1" s="1"/>
  <c r="D289" i="2"/>
  <c r="E289" i="2" s="1"/>
  <c r="C289" i="4" s="1"/>
  <c r="D288" i="2"/>
  <c r="E288" i="2" s="1"/>
  <c r="I291" i="1" s="1"/>
  <c r="D287" i="2"/>
  <c r="E287" i="2" s="1"/>
  <c r="D286" i="2"/>
  <c r="E286" i="2" s="1"/>
  <c r="I289" i="1" s="1"/>
  <c r="D285" i="2"/>
  <c r="E285" i="2" s="1"/>
  <c r="I288" i="1" s="1"/>
  <c r="D284" i="2"/>
  <c r="E284" i="2" s="1"/>
  <c r="I287" i="1" s="1"/>
  <c r="D283" i="2"/>
  <c r="E283" i="2" s="1"/>
  <c r="D282" i="2"/>
  <c r="E282" i="2" s="1"/>
  <c r="I285" i="1" s="1"/>
  <c r="D281" i="2"/>
  <c r="E281" i="2" s="1"/>
  <c r="C281" i="4" s="1"/>
  <c r="D280" i="2"/>
  <c r="E280" i="2" s="1"/>
  <c r="I283" i="1" s="1"/>
  <c r="D279" i="2"/>
  <c r="E279" i="2" s="1"/>
  <c r="D278" i="2"/>
  <c r="E278" i="2" s="1"/>
  <c r="I281" i="1" s="1"/>
  <c r="D277" i="2"/>
  <c r="E277" i="2" s="1"/>
  <c r="C277" i="4" s="1"/>
  <c r="D276" i="2"/>
  <c r="E276" i="2" s="1"/>
  <c r="I279" i="1" s="1"/>
  <c r="D275" i="2"/>
  <c r="E275" i="2" s="1"/>
  <c r="D274" i="2"/>
  <c r="E274" i="2" s="1"/>
  <c r="I277" i="1" s="1"/>
  <c r="D273" i="2"/>
  <c r="E273" i="2" s="1"/>
  <c r="C273" i="4" s="1"/>
  <c r="D272" i="2"/>
  <c r="E272" i="2" s="1"/>
  <c r="I275" i="1" s="1"/>
  <c r="D271" i="2"/>
  <c r="E271" i="2" s="1"/>
  <c r="D270" i="2"/>
  <c r="E270" i="2" s="1"/>
  <c r="I273" i="1" s="1"/>
  <c r="D269" i="2"/>
  <c r="E269" i="2" s="1"/>
  <c r="C269" i="4" s="1"/>
  <c r="D268" i="2"/>
  <c r="E268" i="2" s="1"/>
  <c r="I270" i="1" s="1"/>
  <c r="D267" i="2"/>
  <c r="E267" i="2" s="1"/>
  <c r="D266" i="2"/>
  <c r="E266" i="2" s="1"/>
  <c r="I268" i="1" s="1"/>
  <c r="D265" i="2"/>
  <c r="E265" i="2" s="1"/>
  <c r="C265" i="4" s="1"/>
  <c r="D264" i="2"/>
  <c r="E264" i="2" s="1"/>
  <c r="I266" i="1" s="1"/>
  <c r="D263" i="2"/>
  <c r="E263" i="2" s="1"/>
  <c r="D262" i="2"/>
  <c r="E262" i="2" s="1"/>
  <c r="I264" i="1" s="1"/>
  <c r="D261" i="2"/>
  <c r="E261" i="2" s="1"/>
  <c r="C261" i="4" s="1"/>
  <c r="D260" i="2"/>
  <c r="E260" i="2" s="1"/>
  <c r="I262" i="1" s="1"/>
  <c r="D259" i="2"/>
  <c r="E259" i="2" s="1"/>
  <c r="D258" i="2"/>
  <c r="E258" i="2" s="1"/>
  <c r="D257" i="2"/>
  <c r="E257" i="2" s="1"/>
  <c r="C257" i="4" s="1"/>
  <c r="D256" i="2"/>
  <c r="E256" i="2" s="1"/>
  <c r="I258" i="1" s="1"/>
  <c r="D255" i="2"/>
  <c r="E255" i="2" s="1"/>
  <c r="D254" i="2"/>
  <c r="E254" i="2" s="1"/>
  <c r="I255" i="1" s="1"/>
  <c r="D253" i="2"/>
  <c r="E253" i="2" s="1"/>
  <c r="C253" i="4" s="1"/>
  <c r="D252" i="2"/>
  <c r="E252" i="2" s="1"/>
  <c r="I253" i="1" s="1"/>
  <c r="D251" i="2"/>
  <c r="E251" i="2" s="1"/>
  <c r="D250" i="2"/>
  <c r="E250" i="2" s="1"/>
  <c r="I251" i="1" s="1"/>
  <c r="D249" i="2"/>
  <c r="E249" i="2" s="1"/>
  <c r="C249" i="4" s="1"/>
  <c r="D248" i="2"/>
  <c r="E248" i="2" s="1"/>
  <c r="I249" i="1" s="1"/>
  <c r="D247" i="2"/>
  <c r="E247" i="2" s="1"/>
  <c r="D246" i="2"/>
  <c r="E246" i="2" s="1"/>
  <c r="I247" i="1" s="1"/>
  <c r="D245" i="2"/>
  <c r="E245" i="2" s="1"/>
  <c r="C245" i="4" s="1"/>
  <c r="D244" i="2"/>
  <c r="E244" i="2" s="1"/>
  <c r="I245" i="1" s="1"/>
  <c r="D243" i="2"/>
  <c r="E243" i="2" s="1"/>
  <c r="D242" i="2"/>
  <c r="E242" i="2" s="1"/>
  <c r="I243" i="1" s="1"/>
  <c r="D241" i="2"/>
  <c r="E241" i="2" s="1"/>
  <c r="C241" i="4" s="1"/>
  <c r="D240" i="2"/>
  <c r="E240" i="2" s="1"/>
  <c r="I241" i="1" s="1"/>
  <c r="D239" i="2"/>
  <c r="E239" i="2" s="1"/>
  <c r="D238" i="2"/>
  <c r="E238" i="2" s="1"/>
  <c r="I239" i="1" s="1"/>
  <c r="D237" i="2"/>
  <c r="E237" i="2" s="1"/>
  <c r="C237" i="4" s="1"/>
  <c r="D236" i="2"/>
  <c r="E236" i="2" s="1"/>
  <c r="I237" i="1" s="1"/>
  <c r="D235" i="2"/>
  <c r="E235" i="2" s="1"/>
  <c r="D234" i="2"/>
  <c r="E234" i="2" s="1"/>
  <c r="I235" i="1" s="1"/>
  <c r="D233" i="2"/>
  <c r="E233" i="2" s="1"/>
  <c r="C233" i="4" s="1"/>
  <c r="D232" i="2"/>
  <c r="E232" i="2" s="1"/>
  <c r="I233" i="1" s="1"/>
  <c r="D231" i="2"/>
  <c r="E231" i="2" s="1"/>
  <c r="D230" i="2"/>
  <c r="E230" i="2" s="1"/>
  <c r="I231" i="1" s="1"/>
  <c r="D229" i="2"/>
  <c r="E229" i="2" s="1"/>
  <c r="C229" i="4" s="1"/>
  <c r="D228" i="2"/>
  <c r="E228" i="2" s="1"/>
  <c r="I229" i="1" s="1"/>
  <c r="D227" i="2"/>
  <c r="E227" i="2" s="1"/>
  <c r="D226" i="2"/>
  <c r="E226" i="2" s="1"/>
  <c r="I227" i="1" s="1"/>
  <c r="D225" i="2"/>
  <c r="E225" i="2" s="1"/>
  <c r="I226" i="1" s="1"/>
  <c r="D224" i="2"/>
  <c r="E224" i="2" s="1"/>
  <c r="I225" i="1" s="1"/>
  <c r="D223" i="2"/>
  <c r="E223" i="2" s="1"/>
  <c r="D222" i="2"/>
  <c r="E222" i="2" s="1"/>
  <c r="I223" i="1" s="1"/>
  <c r="D221" i="2"/>
  <c r="E221" i="2" s="1"/>
  <c r="I222" i="1" s="1"/>
  <c r="D220" i="2"/>
  <c r="E220" i="2" s="1"/>
  <c r="I221" i="1" s="1"/>
  <c r="D219" i="2"/>
  <c r="E219" i="2" s="1"/>
  <c r="D218" i="2"/>
  <c r="E218" i="2" s="1"/>
  <c r="I219" i="1" s="1"/>
  <c r="D217" i="2"/>
  <c r="E217" i="2" s="1"/>
  <c r="C217" i="4" s="1"/>
  <c r="D216" i="2"/>
  <c r="E216" i="2" s="1"/>
  <c r="I217" i="1" s="1"/>
  <c r="D215" i="2"/>
  <c r="E215" i="2" s="1"/>
  <c r="D214" i="2"/>
  <c r="E214" i="2" s="1"/>
  <c r="I215" i="1" s="1"/>
  <c r="F322" i="6"/>
  <c r="H256" i="1" s="1"/>
  <c r="E321" i="6"/>
  <c r="F321" i="6" s="1"/>
  <c r="H56" i="1" s="1"/>
  <c r="E320" i="6"/>
  <c r="F320" i="6" s="1"/>
  <c r="H272" i="1" s="1"/>
  <c r="E319" i="6"/>
  <c r="F319" i="6" s="1"/>
  <c r="H322" i="1" s="1"/>
  <c r="E318" i="6"/>
  <c r="F318" i="6" s="1"/>
  <c r="H321" i="1" s="1"/>
  <c r="E317" i="6"/>
  <c r="F317" i="6" s="1"/>
  <c r="H320" i="1" s="1"/>
  <c r="E316" i="6"/>
  <c r="F316" i="6" s="1"/>
  <c r="H319" i="1" s="1"/>
  <c r="E315" i="6"/>
  <c r="F315" i="6" s="1"/>
  <c r="H318" i="1" s="1"/>
  <c r="E314" i="6"/>
  <c r="F314" i="6" s="1"/>
  <c r="H317" i="1" s="1"/>
  <c r="E313" i="6"/>
  <c r="F313" i="6" s="1"/>
  <c r="H316" i="1" s="1"/>
  <c r="E312" i="6"/>
  <c r="F312" i="6" s="1"/>
  <c r="H315" i="1" s="1"/>
  <c r="E311" i="6"/>
  <c r="F311" i="6" s="1"/>
  <c r="H314" i="1" s="1"/>
  <c r="E310" i="6"/>
  <c r="F310" i="6" s="1"/>
  <c r="H313" i="1" s="1"/>
  <c r="E309" i="6"/>
  <c r="F309" i="6" s="1"/>
  <c r="H312" i="1" s="1"/>
  <c r="E308" i="6"/>
  <c r="F308" i="6" s="1"/>
  <c r="H311" i="1" s="1"/>
  <c r="E307" i="6"/>
  <c r="F307" i="6" s="1"/>
  <c r="H310" i="1" s="1"/>
  <c r="E306" i="6"/>
  <c r="F306" i="6" s="1"/>
  <c r="H309" i="1" s="1"/>
  <c r="E305" i="6"/>
  <c r="F305" i="6" s="1"/>
  <c r="H308" i="1" s="1"/>
  <c r="E304" i="6"/>
  <c r="F304" i="6" s="1"/>
  <c r="H307" i="1" s="1"/>
  <c r="E303" i="6"/>
  <c r="F303" i="6" s="1"/>
  <c r="H306" i="1" s="1"/>
  <c r="E302" i="6"/>
  <c r="F302" i="6" s="1"/>
  <c r="H305" i="1" s="1"/>
  <c r="E301" i="6"/>
  <c r="F301" i="6" s="1"/>
  <c r="H304" i="1" s="1"/>
  <c r="E300" i="6"/>
  <c r="F300" i="6" s="1"/>
  <c r="H303" i="1" s="1"/>
  <c r="E299" i="6"/>
  <c r="F299" i="6" s="1"/>
  <c r="H302" i="1" s="1"/>
  <c r="E298" i="6"/>
  <c r="F298" i="6" s="1"/>
  <c r="H301" i="1" s="1"/>
  <c r="E297" i="6"/>
  <c r="F297" i="6" s="1"/>
  <c r="H300" i="1" s="1"/>
  <c r="E296" i="6"/>
  <c r="F296" i="6" s="1"/>
  <c r="H299" i="1" s="1"/>
  <c r="E295" i="6"/>
  <c r="F295" i="6" s="1"/>
  <c r="H298" i="1" s="1"/>
  <c r="E294" i="6"/>
  <c r="F294" i="6" s="1"/>
  <c r="H297" i="1" s="1"/>
  <c r="E293" i="6"/>
  <c r="F293" i="6" s="1"/>
  <c r="H296" i="1" s="1"/>
  <c r="E292" i="6"/>
  <c r="F292" i="6" s="1"/>
  <c r="H295" i="1" s="1"/>
  <c r="E291" i="6"/>
  <c r="F291" i="6" s="1"/>
  <c r="H294" i="1" s="1"/>
  <c r="E290" i="6"/>
  <c r="F290" i="6" s="1"/>
  <c r="H293" i="1" s="1"/>
  <c r="E289" i="6"/>
  <c r="F289" i="6" s="1"/>
  <c r="H292" i="1" s="1"/>
  <c r="E288" i="6"/>
  <c r="F288" i="6" s="1"/>
  <c r="H291" i="1" s="1"/>
  <c r="E287" i="6"/>
  <c r="F287" i="6" s="1"/>
  <c r="H290" i="1" s="1"/>
  <c r="E286" i="6"/>
  <c r="F286" i="6" s="1"/>
  <c r="H289" i="1" s="1"/>
  <c r="E285" i="6"/>
  <c r="F285" i="6" s="1"/>
  <c r="H288" i="1" s="1"/>
  <c r="E284" i="6"/>
  <c r="F284" i="6" s="1"/>
  <c r="H287" i="1" s="1"/>
  <c r="E283" i="6"/>
  <c r="F283" i="6" s="1"/>
  <c r="H286" i="1" s="1"/>
  <c r="E282" i="6"/>
  <c r="F282" i="6" s="1"/>
  <c r="H285" i="1" s="1"/>
  <c r="E281" i="6"/>
  <c r="F281" i="6" s="1"/>
  <c r="H284" i="1" s="1"/>
  <c r="E280" i="6"/>
  <c r="F280" i="6" s="1"/>
  <c r="H283" i="1" s="1"/>
  <c r="E279" i="6"/>
  <c r="F279" i="6" s="1"/>
  <c r="H282" i="1" s="1"/>
  <c r="E278" i="6"/>
  <c r="F278" i="6" s="1"/>
  <c r="H281" i="1" s="1"/>
  <c r="E277" i="6"/>
  <c r="F277" i="6" s="1"/>
  <c r="H280" i="1" s="1"/>
  <c r="E276" i="6"/>
  <c r="F276" i="6" s="1"/>
  <c r="H279" i="1" s="1"/>
  <c r="E275" i="6"/>
  <c r="F275" i="6" s="1"/>
  <c r="H278" i="1" s="1"/>
  <c r="E274" i="6"/>
  <c r="F274" i="6" s="1"/>
  <c r="H277" i="1" s="1"/>
  <c r="E273" i="6"/>
  <c r="F273" i="6" s="1"/>
  <c r="H276" i="1" s="1"/>
  <c r="E272" i="6"/>
  <c r="F272" i="6" s="1"/>
  <c r="H275" i="1" s="1"/>
  <c r="E271" i="6"/>
  <c r="F271" i="6" s="1"/>
  <c r="H274" i="1" s="1"/>
  <c r="E270" i="6"/>
  <c r="F270" i="6" s="1"/>
  <c r="H273" i="1" s="1"/>
  <c r="E269" i="6"/>
  <c r="F269" i="6" s="1"/>
  <c r="H271" i="1" s="1"/>
  <c r="E268" i="6"/>
  <c r="F268" i="6" s="1"/>
  <c r="H270" i="1" s="1"/>
  <c r="E267" i="6"/>
  <c r="F267" i="6" s="1"/>
  <c r="H269" i="1" s="1"/>
  <c r="E266" i="6"/>
  <c r="F266" i="6" s="1"/>
  <c r="H268" i="1" s="1"/>
  <c r="E265" i="6"/>
  <c r="F265" i="6" s="1"/>
  <c r="H267" i="1" s="1"/>
  <c r="E264" i="6"/>
  <c r="F264" i="6" s="1"/>
  <c r="H266" i="1" s="1"/>
  <c r="E263" i="6"/>
  <c r="F263" i="6" s="1"/>
  <c r="H265" i="1" s="1"/>
  <c r="E262" i="6"/>
  <c r="F262" i="6" s="1"/>
  <c r="H264" i="1" s="1"/>
  <c r="E261" i="6"/>
  <c r="F261" i="6" s="1"/>
  <c r="H263" i="1" s="1"/>
  <c r="E260" i="6"/>
  <c r="F260" i="6" s="1"/>
  <c r="H262" i="1" s="1"/>
  <c r="E259" i="6"/>
  <c r="F259" i="6" s="1"/>
  <c r="E258" i="6"/>
  <c r="F258" i="6" s="1"/>
  <c r="H261" i="1" s="1"/>
  <c r="E257" i="6"/>
  <c r="F257" i="6" s="1"/>
  <c r="H259" i="1" s="1"/>
  <c r="E256" i="6"/>
  <c r="F256" i="6" s="1"/>
  <c r="H258" i="1" s="1"/>
  <c r="E255" i="6"/>
  <c r="F255" i="6" s="1"/>
  <c r="H257" i="1" s="1"/>
  <c r="E254" i="6"/>
  <c r="F254" i="6" s="1"/>
  <c r="H255" i="1" s="1"/>
  <c r="E253" i="6"/>
  <c r="F253" i="6" s="1"/>
  <c r="H254" i="1" s="1"/>
  <c r="E252" i="6"/>
  <c r="F252" i="6" s="1"/>
  <c r="H253" i="1" s="1"/>
  <c r="E251" i="6"/>
  <c r="F251" i="6" s="1"/>
  <c r="H252" i="1" s="1"/>
  <c r="E250" i="6"/>
  <c r="F250" i="6" s="1"/>
  <c r="H251" i="1" s="1"/>
  <c r="E249" i="6"/>
  <c r="F249" i="6" s="1"/>
  <c r="H250" i="1" s="1"/>
  <c r="E248" i="6"/>
  <c r="F248" i="6" s="1"/>
  <c r="H249" i="1" s="1"/>
  <c r="E247" i="6"/>
  <c r="F247" i="6" s="1"/>
  <c r="H248" i="1" s="1"/>
  <c r="E246" i="6"/>
  <c r="F246" i="6" s="1"/>
  <c r="H247" i="1" s="1"/>
  <c r="E245" i="6"/>
  <c r="F245" i="6" s="1"/>
  <c r="H246" i="1" s="1"/>
  <c r="E244" i="6"/>
  <c r="F244" i="6" s="1"/>
  <c r="H245" i="1" s="1"/>
  <c r="E243" i="6"/>
  <c r="F243" i="6" s="1"/>
  <c r="H244" i="1" s="1"/>
  <c r="E242" i="6"/>
  <c r="F242" i="6" s="1"/>
  <c r="H243" i="1" s="1"/>
  <c r="E241" i="6"/>
  <c r="F241" i="6" s="1"/>
  <c r="H242" i="1" s="1"/>
  <c r="E240" i="6"/>
  <c r="F240" i="6" s="1"/>
  <c r="H241" i="1" s="1"/>
  <c r="E239" i="6"/>
  <c r="F239" i="6" s="1"/>
  <c r="H240" i="1" s="1"/>
  <c r="E238" i="6"/>
  <c r="F238" i="6" s="1"/>
  <c r="H239" i="1" s="1"/>
  <c r="E237" i="6"/>
  <c r="F237" i="6" s="1"/>
  <c r="H238" i="1" s="1"/>
  <c r="E236" i="6"/>
  <c r="F236" i="6" s="1"/>
  <c r="H237" i="1" s="1"/>
  <c r="E235" i="6"/>
  <c r="F235" i="6" s="1"/>
  <c r="H236" i="1" s="1"/>
  <c r="E234" i="6"/>
  <c r="F234" i="6" s="1"/>
  <c r="H235" i="1" s="1"/>
  <c r="E233" i="6"/>
  <c r="F233" i="6" s="1"/>
  <c r="H234" i="1" s="1"/>
  <c r="E232" i="6"/>
  <c r="F232" i="6" s="1"/>
  <c r="H233" i="1" s="1"/>
  <c r="E231" i="6"/>
  <c r="F231" i="6" s="1"/>
  <c r="H232" i="1" s="1"/>
  <c r="E230" i="6"/>
  <c r="F230" i="6" s="1"/>
  <c r="H231" i="1" s="1"/>
  <c r="E229" i="6"/>
  <c r="F229" i="6" s="1"/>
  <c r="H230" i="1" s="1"/>
  <c r="E228" i="6"/>
  <c r="F228" i="6" s="1"/>
  <c r="H229" i="1" s="1"/>
  <c r="E227" i="6"/>
  <c r="F227" i="6" s="1"/>
  <c r="H228" i="1" s="1"/>
  <c r="E226" i="6"/>
  <c r="F226" i="6" s="1"/>
  <c r="H227" i="1" s="1"/>
  <c r="E225" i="6"/>
  <c r="F225" i="6" s="1"/>
  <c r="H226" i="1" s="1"/>
  <c r="E224" i="6"/>
  <c r="F224" i="6" s="1"/>
  <c r="H225" i="1" s="1"/>
  <c r="E223" i="6"/>
  <c r="F223" i="6" s="1"/>
  <c r="H224" i="1" s="1"/>
  <c r="E222" i="6"/>
  <c r="F222" i="6" s="1"/>
  <c r="H223" i="1" s="1"/>
  <c r="E221" i="6"/>
  <c r="F221" i="6" s="1"/>
  <c r="H222" i="1" s="1"/>
  <c r="E220" i="6"/>
  <c r="F220" i="6" s="1"/>
  <c r="H221" i="1" s="1"/>
  <c r="E219" i="6"/>
  <c r="F219" i="6" s="1"/>
  <c r="H220" i="1" s="1"/>
  <c r="E218" i="6"/>
  <c r="F218" i="6" s="1"/>
  <c r="H219" i="1" s="1"/>
  <c r="E217" i="6"/>
  <c r="F217" i="6" s="1"/>
  <c r="H218" i="1" s="1"/>
  <c r="E216" i="6"/>
  <c r="F216" i="6" s="1"/>
  <c r="H217" i="1" s="1"/>
  <c r="E215" i="6"/>
  <c r="F215" i="6" s="1"/>
  <c r="H216" i="1" s="1"/>
  <c r="E214" i="6"/>
  <c r="F214" i="6" s="1"/>
  <c r="H215" i="1" s="1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K318" i="1"/>
  <c r="I317" i="1"/>
  <c r="I315" i="1"/>
  <c r="K314" i="1"/>
  <c r="I301" i="1"/>
  <c r="I300" i="1"/>
  <c r="K290" i="1"/>
  <c r="I284" i="1"/>
  <c r="I276" i="1"/>
  <c r="K269" i="1"/>
  <c r="I259" i="1"/>
  <c r="K248" i="1"/>
  <c r="K228" i="1"/>
  <c r="K216" i="1"/>
  <c r="H256" i="3"/>
  <c r="I256" i="3" s="1"/>
  <c r="J256" i="1" s="1"/>
  <c r="H56" i="3"/>
  <c r="I56" i="3" s="1"/>
  <c r="J56" i="1" s="1"/>
  <c r="H272" i="3"/>
  <c r="I272" i="3" s="1"/>
  <c r="J272" i="1" s="1"/>
  <c r="I322" i="3"/>
  <c r="J322" i="1" s="1"/>
  <c r="H321" i="3"/>
  <c r="I321" i="3" s="1"/>
  <c r="J321" i="1" s="1"/>
  <c r="H320" i="3"/>
  <c r="I320" i="3" s="1"/>
  <c r="J320" i="1" s="1"/>
  <c r="H319" i="3"/>
  <c r="I319" i="3" s="1"/>
  <c r="J319" i="1" s="1"/>
  <c r="H318" i="3"/>
  <c r="I318" i="3" s="1"/>
  <c r="J318" i="1" s="1"/>
  <c r="H317" i="3"/>
  <c r="I317" i="3" s="1"/>
  <c r="J317" i="1" s="1"/>
  <c r="H316" i="3"/>
  <c r="I316" i="3" s="1"/>
  <c r="J316" i="1" s="1"/>
  <c r="H315" i="3"/>
  <c r="I315" i="3" s="1"/>
  <c r="J315" i="1" s="1"/>
  <c r="H314" i="3"/>
  <c r="I314" i="3" s="1"/>
  <c r="J314" i="1" s="1"/>
  <c r="H313" i="3"/>
  <c r="I313" i="3" s="1"/>
  <c r="J313" i="1" s="1"/>
  <c r="H312" i="3"/>
  <c r="I312" i="3" s="1"/>
  <c r="J312" i="1" s="1"/>
  <c r="H311" i="3"/>
  <c r="I311" i="3" s="1"/>
  <c r="J311" i="1" s="1"/>
  <c r="H310" i="3"/>
  <c r="I310" i="3" s="1"/>
  <c r="J310" i="1" s="1"/>
  <c r="H309" i="3"/>
  <c r="I309" i="3" s="1"/>
  <c r="J309" i="1" s="1"/>
  <c r="H308" i="3"/>
  <c r="I308" i="3" s="1"/>
  <c r="J308" i="1" s="1"/>
  <c r="H307" i="3"/>
  <c r="I307" i="3" s="1"/>
  <c r="J307" i="1" s="1"/>
  <c r="H306" i="3"/>
  <c r="I306" i="3" s="1"/>
  <c r="J306" i="1" s="1"/>
  <c r="H305" i="3"/>
  <c r="I305" i="3" s="1"/>
  <c r="J305" i="1" s="1"/>
  <c r="H304" i="3"/>
  <c r="I304" i="3" s="1"/>
  <c r="J304" i="1" s="1"/>
  <c r="H303" i="3"/>
  <c r="I303" i="3" s="1"/>
  <c r="J303" i="1" s="1"/>
  <c r="H302" i="3"/>
  <c r="I302" i="3" s="1"/>
  <c r="J302" i="1" s="1"/>
  <c r="H301" i="3"/>
  <c r="I301" i="3" s="1"/>
  <c r="J301" i="1" s="1"/>
  <c r="H300" i="3"/>
  <c r="I300" i="3" s="1"/>
  <c r="J300" i="1" s="1"/>
  <c r="H299" i="3"/>
  <c r="I299" i="3" s="1"/>
  <c r="J299" i="1" s="1"/>
  <c r="H298" i="3"/>
  <c r="I298" i="3" s="1"/>
  <c r="J298" i="1" s="1"/>
  <c r="H297" i="3"/>
  <c r="I297" i="3" s="1"/>
  <c r="J297" i="1" s="1"/>
  <c r="H296" i="3"/>
  <c r="I296" i="3" s="1"/>
  <c r="J296" i="1" s="1"/>
  <c r="H295" i="3"/>
  <c r="I295" i="3" s="1"/>
  <c r="J295" i="1" s="1"/>
  <c r="H294" i="3"/>
  <c r="I294" i="3" s="1"/>
  <c r="J294" i="1" s="1"/>
  <c r="H293" i="3"/>
  <c r="I293" i="3" s="1"/>
  <c r="J293" i="1" s="1"/>
  <c r="H292" i="3"/>
  <c r="I292" i="3" s="1"/>
  <c r="J292" i="1" s="1"/>
  <c r="H291" i="3"/>
  <c r="I291" i="3" s="1"/>
  <c r="J291" i="1" s="1"/>
  <c r="H290" i="3"/>
  <c r="I290" i="3" s="1"/>
  <c r="J290" i="1" s="1"/>
  <c r="H289" i="3"/>
  <c r="I289" i="3" s="1"/>
  <c r="J289" i="1" s="1"/>
  <c r="H288" i="3"/>
  <c r="I288" i="3" s="1"/>
  <c r="J288" i="1" s="1"/>
  <c r="H287" i="3"/>
  <c r="I287" i="3" s="1"/>
  <c r="J287" i="1" s="1"/>
  <c r="H286" i="3"/>
  <c r="I286" i="3" s="1"/>
  <c r="J286" i="1" s="1"/>
  <c r="H285" i="3"/>
  <c r="I285" i="3" s="1"/>
  <c r="J285" i="1" s="1"/>
  <c r="H284" i="3"/>
  <c r="I284" i="3" s="1"/>
  <c r="J284" i="1" s="1"/>
  <c r="H283" i="3"/>
  <c r="I283" i="3" s="1"/>
  <c r="J283" i="1" s="1"/>
  <c r="H282" i="3"/>
  <c r="I282" i="3" s="1"/>
  <c r="J282" i="1" s="1"/>
  <c r="H281" i="3"/>
  <c r="I281" i="3" s="1"/>
  <c r="J281" i="1" s="1"/>
  <c r="H280" i="3"/>
  <c r="I280" i="3" s="1"/>
  <c r="J280" i="1" s="1"/>
  <c r="H279" i="3"/>
  <c r="I279" i="3" s="1"/>
  <c r="J279" i="1" s="1"/>
  <c r="H278" i="3"/>
  <c r="I278" i="3" s="1"/>
  <c r="J278" i="1" s="1"/>
  <c r="H277" i="3"/>
  <c r="I277" i="3" s="1"/>
  <c r="J277" i="1" s="1"/>
  <c r="H276" i="3"/>
  <c r="I276" i="3" s="1"/>
  <c r="J276" i="1" s="1"/>
  <c r="H275" i="3"/>
  <c r="I275" i="3" s="1"/>
  <c r="J275" i="1" s="1"/>
  <c r="H274" i="3"/>
  <c r="I274" i="3" s="1"/>
  <c r="J274" i="1" s="1"/>
  <c r="H273" i="3"/>
  <c r="I273" i="3" s="1"/>
  <c r="J273" i="1" s="1"/>
  <c r="H271" i="3"/>
  <c r="I271" i="3" s="1"/>
  <c r="J271" i="1" s="1"/>
  <c r="H270" i="3"/>
  <c r="I270" i="3" s="1"/>
  <c r="J270" i="1" s="1"/>
  <c r="H269" i="3"/>
  <c r="I269" i="3" s="1"/>
  <c r="J269" i="1" s="1"/>
  <c r="H268" i="3"/>
  <c r="I268" i="3" s="1"/>
  <c r="J268" i="1" s="1"/>
  <c r="H267" i="3"/>
  <c r="I267" i="3" s="1"/>
  <c r="J267" i="1" s="1"/>
  <c r="H266" i="3"/>
  <c r="I266" i="3" s="1"/>
  <c r="J266" i="1" s="1"/>
  <c r="H265" i="3"/>
  <c r="I265" i="3" s="1"/>
  <c r="J265" i="1" s="1"/>
  <c r="H264" i="3"/>
  <c r="I264" i="3" s="1"/>
  <c r="J264" i="1" s="1"/>
  <c r="H263" i="3"/>
  <c r="I263" i="3" s="1"/>
  <c r="J263" i="1" s="1"/>
  <c r="H262" i="3"/>
  <c r="I262" i="3" s="1"/>
  <c r="J262" i="1" s="1"/>
  <c r="H261" i="3"/>
  <c r="I261" i="3" s="1"/>
  <c r="H260" i="3"/>
  <c r="I260" i="3" s="1"/>
  <c r="J260" i="1" s="1"/>
  <c r="H259" i="3"/>
  <c r="I259" i="3" s="1"/>
  <c r="J259" i="1" s="1"/>
  <c r="H258" i="3"/>
  <c r="I258" i="3" s="1"/>
  <c r="J258" i="1" s="1"/>
  <c r="H257" i="3"/>
  <c r="I257" i="3" s="1"/>
  <c r="J257" i="1" s="1"/>
  <c r="H255" i="3"/>
  <c r="I255" i="3" s="1"/>
  <c r="J255" i="1" s="1"/>
  <c r="H254" i="3"/>
  <c r="I254" i="3" s="1"/>
  <c r="J254" i="1" s="1"/>
  <c r="H253" i="3"/>
  <c r="I253" i="3" s="1"/>
  <c r="J253" i="1" s="1"/>
  <c r="H252" i="3"/>
  <c r="I252" i="3" s="1"/>
  <c r="J252" i="1" s="1"/>
  <c r="H251" i="3"/>
  <c r="I251" i="3" s="1"/>
  <c r="J251" i="1" s="1"/>
  <c r="H250" i="3"/>
  <c r="I250" i="3" s="1"/>
  <c r="J250" i="1" s="1"/>
  <c r="H249" i="3"/>
  <c r="I249" i="3" s="1"/>
  <c r="J249" i="1" s="1"/>
  <c r="H248" i="3"/>
  <c r="I248" i="3" s="1"/>
  <c r="J248" i="1" s="1"/>
  <c r="H247" i="3"/>
  <c r="I247" i="3" s="1"/>
  <c r="J247" i="1" s="1"/>
  <c r="H246" i="3"/>
  <c r="I246" i="3" s="1"/>
  <c r="J246" i="1" s="1"/>
  <c r="H245" i="3"/>
  <c r="I245" i="3" s="1"/>
  <c r="J245" i="1" s="1"/>
  <c r="H244" i="3"/>
  <c r="I244" i="3" s="1"/>
  <c r="J244" i="1" s="1"/>
  <c r="H243" i="3"/>
  <c r="I243" i="3" s="1"/>
  <c r="J243" i="1" s="1"/>
  <c r="H242" i="3"/>
  <c r="I242" i="3" s="1"/>
  <c r="J242" i="1" s="1"/>
  <c r="H241" i="3"/>
  <c r="I241" i="3" s="1"/>
  <c r="J241" i="1" s="1"/>
  <c r="H240" i="3"/>
  <c r="I240" i="3" s="1"/>
  <c r="J240" i="1" s="1"/>
  <c r="H239" i="3"/>
  <c r="I239" i="3" s="1"/>
  <c r="J239" i="1" s="1"/>
  <c r="H238" i="3"/>
  <c r="I238" i="3" s="1"/>
  <c r="J238" i="1" s="1"/>
  <c r="H237" i="3"/>
  <c r="I237" i="3" s="1"/>
  <c r="J237" i="1" s="1"/>
  <c r="H236" i="3"/>
  <c r="I236" i="3" s="1"/>
  <c r="J236" i="1" s="1"/>
  <c r="H235" i="3"/>
  <c r="I235" i="3" s="1"/>
  <c r="J235" i="1" s="1"/>
  <c r="H234" i="3"/>
  <c r="I234" i="3" s="1"/>
  <c r="J234" i="1" s="1"/>
  <c r="H233" i="3"/>
  <c r="I233" i="3" s="1"/>
  <c r="J233" i="1" s="1"/>
  <c r="H232" i="3"/>
  <c r="I232" i="3" s="1"/>
  <c r="J232" i="1" s="1"/>
  <c r="H231" i="3"/>
  <c r="I231" i="3" s="1"/>
  <c r="J231" i="1" s="1"/>
  <c r="H230" i="3"/>
  <c r="I230" i="3" s="1"/>
  <c r="J230" i="1" s="1"/>
  <c r="H229" i="3"/>
  <c r="I229" i="3" s="1"/>
  <c r="J229" i="1" s="1"/>
  <c r="H228" i="3"/>
  <c r="I228" i="3" s="1"/>
  <c r="J228" i="1" s="1"/>
  <c r="H227" i="3"/>
  <c r="I227" i="3" s="1"/>
  <c r="J227" i="1" s="1"/>
  <c r="H226" i="3"/>
  <c r="I226" i="3" s="1"/>
  <c r="J226" i="1" s="1"/>
  <c r="H225" i="3"/>
  <c r="I225" i="3" s="1"/>
  <c r="J225" i="1" s="1"/>
  <c r="H224" i="3"/>
  <c r="I224" i="3" s="1"/>
  <c r="J224" i="1" s="1"/>
  <c r="H223" i="3"/>
  <c r="I223" i="3" s="1"/>
  <c r="J223" i="1" s="1"/>
  <c r="H222" i="3"/>
  <c r="I222" i="3" s="1"/>
  <c r="J222" i="1" s="1"/>
  <c r="H221" i="3"/>
  <c r="I221" i="3" s="1"/>
  <c r="J221" i="1" s="1"/>
  <c r="H220" i="3"/>
  <c r="I220" i="3" s="1"/>
  <c r="J220" i="1" s="1"/>
  <c r="H219" i="3"/>
  <c r="I219" i="3" s="1"/>
  <c r="J219" i="1" s="1"/>
  <c r="H218" i="3"/>
  <c r="I218" i="3" s="1"/>
  <c r="J218" i="1" s="1"/>
  <c r="H217" i="3"/>
  <c r="I217" i="3" s="1"/>
  <c r="J217" i="1" s="1"/>
  <c r="H216" i="3"/>
  <c r="I216" i="3" s="1"/>
  <c r="J216" i="1" s="1"/>
  <c r="M56" i="1" l="1"/>
  <c r="E256" i="1"/>
  <c r="L261" i="1"/>
  <c r="L260" i="1"/>
  <c r="I280" i="1"/>
  <c r="I318" i="1"/>
  <c r="M301" i="1"/>
  <c r="E301" i="1"/>
  <c r="M309" i="1"/>
  <c r="E309" i="1"/>
  <c r="M317" i="1"/>
  <c r="E317" i="1"/>
  <c r="M298" i="1"/>
  <c r="E298" i="1"/>
  <c r="M303" i="1"/>
  <c r="E303" i="1"/>
  <c r="M310" i="1"/>
  <c r="E310" i="1"/>
  <c r="M315" i="1"/>
  <c r="E315" i="1"/>
  <c r="M224" i="1"/>
  <c r="E224" i="1"/>
  <c r="M240" i="1"/>
  <c r="E240" i="1"/>
  <c r="M274" i="1"/>
  <c r="E274" i="1"/>
  <c r="M282" i="1"/>
  <c r="E282" i="1"/>
  <c r="M290" i="1"/>
  <c r="E290" i="1"/>
  <c r="M234" i="1"/>
  <c r="E234" i="1"/>
  <c r="M263" i="1"/>
  <c r="E263" i="1"/>
  <c r="M235" i="1"/>
  <c r="E235" i="1"/>
  <c r="M217" i="1"/>
  <c r="E217" i="1"/>
  <c r="M225" i="1"/>
  <c r="E225" i="1"/>
  <c r="M258" i="1"/>
  <c r="E258" i="1"/>
  <c r="M275" i="1"/>
  <c r="E275" i="1"/>
  <c r="M291" i="1"/>
  <c r="E291" i="1"/>
  <c r="M230" i="1"/>
  <c r="E230" i="1"/>
  <c r="M254" i="1"/>
  <c r="E254" i="1"/>
  <c r="M288" i="1"/>
  <c r="E288" i="1"/>
  <c r="M219" i="1"/>
  <c r="E219" i="1"/>
  <c r="M281" i="1"/>
  <c r="E281" i="1"/>
  <c r="M223" i="1"/>
  <c r="E223" i="1"/>
  <c r="M239" i="1"/>
  <c r="E239" i="1"/>
  <c r="M285" i="1"/>
  <c r="E285" i="1"/>
  <c r="M292" i="1"/>
  <c r="E292" i="1"/>
  <c r="M304" i="1"/>
  <c r="E304" i="1"/>
  <c r="M312" i="1"/>
  <c r="E312" i="1"/>
  <c r="M320" i="1"/>
  <c r="E320" i="1"/>
  <c r="M302" i="1"/>
  <c r="E302" i="1"/>
  <c r="M322" i="1"/>
  <c r="E322" i="1"/>
  <c r="M295" i="1"/>
  <c r="E295" i="1"/>
  <c r="M297" i="1"/>
  <c r="E297" i="1"/>
  <c r="M305" i="1"/>
  <c r="E305" i="1"/>
  <c r="M313" i="1"/>
  <c r="E313" i="1"/>
  <c r="M321" i="1"/>
  <c r="E321" i="1"/>
  <c r="M306" i="1"/>
  <c r="E306" i="1"/>
  <c r="M311" i="1"/>
  <c r="E311" i="1"/>
  <c r="M299" i="1"/>
  <c r="E299" i="1"/>
  <c r="M216" i="1"/>
  <c r="E216" i="1"/>
  <c r="M228" i="1"/>
  <c r="E228" i="1"/>
  <c r="M244" i="1"/>
  <c r="E244" i="1"/>
  <c r="M265" i="1"/>
  <c r="E265" i="1"/>
  <c r="M278" i="1"/>
  <c r="E278" i="1"/>
  <c r="M286" i="1"/>
  <c r="E286" i="1"/>
  <c r="M314" i="1"/>
  <c r="E314" i="1"/>
  <c r="M242" i="1"/>
  <c r="E242" i="1"/>
  <c r="M267" i="1"/>
  <c r="E267" i="1"/>
  <c r="M289" i="1"/>
  <c r="E289" i="1"/>
  <c r="M221" i="1"/>
  <c r="E221" i="1"/>
  <c r="M249" i="1"/>
  <c r="E249" i="1"/>
  <c r="M270" i="1"/>
  <c r="E270" i="1"/>
  <c r="M279" i="1"/>
  <c r="E279" i="1"/>
  <c r="M307" i="1"/>
  <c r="E307" i="1"/>
  <c r="M246" i="1"/>
  <c r="E246" i="1"/>
  <c r="M280" i="1"/>
  <c r="E280" i="1"/>
  <c r="M296" i="1"/>
  <c r="E296" i="1"/>
  <c r="M243" i="1"/>
  <c r="E243" i="1"/>
  <c r="M277" i="1"/>
  <c r="E277" i="1"/>
  <c r="M293" i="1"/>
  <c r="E293" i="1"/>
  <c r="M231" i="1"/>
  <c r="E231" i="1"/>
  <c r="M247" i="1"/>
  <c r="E247" i="1"/>
  <c r="M300" i="1"/>
  <c r="E300" i="1"/>
  <c r="M308" i="1"/>
  <c r="E308" i="1"/>
  <c r="M316" i="1"/>
  <c r="E316" i="1"/>
  <c r="M294" i="1"/>
  <c r="E294" i="1"/>
  <c r="M318" i="1"/>
  <c r="E318" i="1"/>
  <c r="M287" i="1"/>
  <c r="E287" i="1"/>
  <c r="M319" i="1"/>
  <c r="E319" i="1"/>
  <c r="M227" i="7"/>
  <c r="M259" i="7"/>
  <c r="M291" i="7"/>
  <c r="K294" i="1" s="1"/>
  <c r="M237" i="7"/>
  <c r="K238" i="1" s="1"/>
  <c r="M269" i="7"/>
  <c r="M301" i="7"/>
  <c r="M243" i="7"/>
  <c r="K244" i="1" s="1"/>
  <c r="M275" i="7"/>
  <c r="M307" i="7"/>
  <c r="K310" i="1" s="1"/>
  <c r="M221" i="7"/>
  <c r="M253" i="7"/>
  <c r="M285" i="7"/>
  <c r="K288" i="1" s="1"/>
  <c r="M317" i="7"/>
  <c r="K320" i="1" s="1"/>
  <c r="I216" i="7"/>
  <c r="K217" i="1" s="1"/>
  <c r="I232" i="7"/>
  <c r="K233" i="1" s="1"/>
  <c r="I248" i="7"/>
  <c r="K249" i="1" s="1"/>
  <c r="I264" i="7"/>
  <c r="K266" i="1" s="1"/>
  <c r="I280" i="7"/>
  <c r="K283" i="1" s="1"/>
  <c r="I296" i="7"/>
  <c r="K299" i="1" s="1"/>
  <c r="M217" i="7"/>
  <c r="M223" i="7"/>
  <c r="K224" i="1" s="1"/>
  <c r="I228" i="7"/>
  <c r="K229" i="1" s="1"/>
  <c r="M233" i="7"/>
  <c r="M239" i="7"/>
  <c r="K240" i="1" s="1"/>
  <c r="I244" i="7"/>
  <c r="K245" i="1" s="1"/>
  <c r="M249" i="7"/>
  <c r="K250" i="1" s="1"/>
  <c r="M255" i="7"/>
  <c r="K257" i="1" s="1"/>
  <c r="I260" i="7"/>
  <c r="K262" i="1" s="1"/>
  <c r="M265" i="7"/>
  <c r="K267" i="1" s="1"/>
  <c r="M271" i="7"/>
  <c r="I276" i="7"/>
  <c r="K279" i="1" s="1"/>
  <c r="M281" i="7"/>
  <c r="M287" i="7"/>
  <c r="I292" i="7"/>
  <c r="K295" i="1" s="1"/>
  <c r="M297" i="7"/>
  <c r="M303" i="7"/>
  <c r="I308" i="7"/>
  <c r="K311" i="1" s="1"/>
  <c r="M313" i="7"/>
  <c r="K316" i="1" s="1"/>
  <c r="M319" i="7"/>
  <c r="K322" i="1" s="1"/>
  <c r="I312" i="7"/>
  <c r="K315" i="1" s="1"/>
  <c r="M219" i="7"/>
  <c r="K220" i="1" s="1"/>
  <c r="I224" i="7"/>
  <c r="K225" i="1" s="1"/>
  <c r="M229" i="7"/>
  <c r="K230" i="1" s="1"/>
  <c r="M235" i="7"/>
  <c r="K236" i="1" s="1"/>
  <c r="I240" i="7"/>
  <c r="K241" i="1" s="1"/>
  <c r="M245" i="7"/>
  <c r="M251" i="7"/>
  <c r="I256" i="7"/>
  <c r="K258" i="1" s="1"/>
  <c r="M261" i="7"/>
  <c r="K263" i="1" s="1"/>
  <c r="M267" i="7"/>
  <c r="I272" i="7"/>
  <c r="K275" i="1" s="1"/>
  <c r="M277" i="7"/>
  <c r="K280" i="1" s="1"/>
  <c r="M283" i="7"/>
  <c r="K286" i="1" s="1"/>
  <c r="I288" i="7"/>
  <c r="K291" i="1" s="1"/>
  <c r="M293" i="7"/>
  <c r="M299" i="7"/>
  <c r="K302" i="1" s="1"/>
  <c r="I304" i="7"/>
  <c r="K307" i="1" s="1"/>
  <c r="M309" i="7"/>
  <c r="K312" i="1" s="1"/>
  <c r="M315" i="7"/>
  <c r="I320" i="7"/>
  <c r="K272" i="1" s="1"/>
  <c r="M215" i="7"/>
  <c r="I220" i="7"/>
  <c r="K221" i="1" s="1"/>
  <c r="M225" i="7"/>
  <c r="M231" i="7"/>
  <c r="I236" i="7"/>
  <c r="K237" i="1" s="1"/>
  <c r="M241" i="7"/>
  <c r="M247" i="7"/>
  <c r="I252" i="7"/>
  <c r="K253" i="1" s="1"/>
  <c r="M257" i="7"/>
  <c r="M263" i="7"/>
  <c r="I268" i="7"/>
  <c r="K270" i="1" s="1"/>
  <c r="M273" i="7"/>
  <c r="K276" i="1" s="1"/>
  <c r="M279" i="7"/>
  <c r="K282" i="1" s="1"/>
  <c r="I284" i="7"/>
  <c r="K287" i="1" s="1"/>
  <c r="M289" i="7"/>
  <c r="K292" i="1" s="1"/>
  <c r="M295" i="7"/>
  <c r="K298" i="1" s="1"/>
  <c r="I300" i="7"/>
  <c r="K303" i="1" s="1"/>
  <c r="M305" i="7"/>
  <c r="K308" i="1" s="1"/>
  <c r="M311" i="7"/>
  <c r="I316" i="7"/>
  <c r="K319" i="1" s="1"/>
  <c r="M321" i="7"/>
  <c r="I230" i="1"/>
  <c r="I242" i="1"/>
  <c r="I263" i="1"/>
  <c r="I292" i="1"/>
  <c r="I238" i="1"/>
  <c r="I246" i="1"/>
  <c r="I267" i="1"/>
  <c r="I316" i="1"/>
  <c r="I234" i="1"/>
  <c r="I250" i="1"/>
  <c r="I218" i="1"/>
  <c r="F298" i="4"/>
  <c r="F314" i="4"/>
  <c r="C318" i="4"/>
  <c r="F318" i="4" s="1"/>
  <c r="C302" i="4"/>
  <c r="F302" i="4" s="1"/>
  <c r="C254" i="4"/>
  <c r="F254" i="4" s="1"/>
  <c r="I254" i="1"/>
  <c r="I271" i="1"/>
  <c r="C258" i="4"/>
  <c r="F258" i="4" s="1"/>
  <c r="C290" i="4"/>
  <c r="F290" i="4" s="1"/>
  <c r="C238" i="4"/>
  <c r="F238" i="4" s="1"/>
  <c r="C310" i="4"/>
  <c r="F310" i="4" s="1"/>
  <c r="C286" i="4"/>
  <c r="F286" i="4" s="1"/>
  <c r="C222" i="4"/>
  <c r="F222" i="4" s="1"/>
  <c r="C321" i="4"/>
  <c r="F321" i="4" s="1"/>
  <c r="C305" i="4"/>
  <c r="F305" i="4" s="1"/>
  <c r="C274" i="4"/>
  <c r="F274" i="4" s="1"/>
  <c r="F315" i="4"/>
  <c r="F313" i="4"/>
  <c r="F217" i="4"/>
  <c r="I214" i="7"/>
  <c r="K215" i="1" s="1"/>
  <c r="I218" i="7"/>
  <c r="K219" i="1" s="1"/>
  <c r="I222" i="7"/>
  <c r="K223" i="1" s="1"/>
  <c r="I226" i="7"/>
  <c r="K227" i="1" s="1"/>
  <c r="I230" i="7"/>
  <c r="K231" i="1" s="1"/>
  <c r="I234" i="7"/>
  <c r="K235" i="1" s="1"/>
  <c r="I238" i="7"/>
  <c r="K239" i="1" s="1"/>
  <c r="I242" i="7"/>
  <c r="K243" i="1" s="1"/>
  <c r="I246" i="7"/>
  <c r="K247" i="1" s="1"/>
  <c r="I250" i="7"/>
  <c r="K251" i="1" s="1"/>
  <c r="I254" i="7"/>
  <c r="K255" i="1" s="1"/>
  <c r="I258" i="7"/>
  <c r="I262" i="7"/>
  <c r="K264" i="1" s="1"/>
  <c r="I266" i="7"/>
  <c r="K268" i="1" s="1"/>
  <c r="I270" i="7"/>
  <c r="K273" i="1" s="1"/>
  <c r="I274" i="7"/>
  <c r="K277" i="1" s="1"/>
  <c r="I278" i="7"/>
  <c r="K281" i="1" s="1"/>
  <c r="I282" i="7"/>
  <c r="K285" i="1" s="1"/>
  <c r="I286" i="7"/>
  <c r="K289" i="1" s="1"/>
  <c r="I290" i="7"/>
  <c r="K293" i="1" s="1"/>
  <c r="I294" i="7"/>
  <c r="K297" i="1" s="1"/>
  <c r="I298" i="7"/>
  <c r="K301" i="1" s="1"/>
  <c r="I302" i="7"/>
  <c r="K305" i="1" s="1"/>
  <c r="I306" i="7"/>
  <c r="K309" i="1" s="1"/>
  <c r="I310" i="7"/>
  <c r="K313" i="1" s="1"/>
  <c r="I314" i="7"/>
  <c r="K317" i="1" s="1"/>
  <c r="I318" i="7"/>
  <c r="K321" i="1" s="1"/>
  <c r="I322" i="7"/>
  <c r="K256" i="1" s="1"/>
  <c r="F312" i="4"/>
  <c r="C270" i="4"/>
  <c r="F270" i="4" s="1"/>
  <c r="C250" i="4"/>
  <c r="F250" i="4" s="1"/>
  <c r="C234" i="4"/>
  <c r="F234" i="4" s="1"/>
  <c r="C218" i="4"/>
  <c r="F218" i="4" s="1"/>
  <c r="F229" i="4"/>
  <c r="F233" i="4"/>
  <c r="F237" i="4"/>
  <c r="F241" i="4"/>
  <c r="F245" i="4"/>
  <c r="F249" i="4"/>
  <c r="F253" i="4"/>
  <c r="F257" i="4"/>
  <c r="F261" i="4"/>
  <c r="F265" i="4"/>
  <c r="F269" i="4"/>
  <c r="F273" i="4"/>
  <c r="F277" i="4"/>
  <c r="F281" i="4"/>
  <c r="F289" i="4"/>
  <c r="F297" i="4"/>
  <c r="C317" i="4"/>
  <c r="F317" i="4" s="1"/>
  <c r="C309" i="4"/>
  <c r="F309" i="4" s="1"/>
  <c r="C282" i="4"/>
  <c r="F282" i="4" s="1"/>
  <c r="C266" i="4"/>
  <c r="F266" i="4" s="1"/>
  <c r="C246" i="4"/>
  <c r="F246" i="4" s="1"/>
  <c r="C230" i="4"/>
  <c r="F230" i="4" s="1"/>
  <c r="C214" i="4"/>
  <c r="F214" i="4" s="1"/>
  <c r="C259" i="4"/>
  <c r="F259" i="4" s="1"/>
  <c r="C322" i="4"/>
  <c r="F322" i="4" s="1"/>
  <c r="C306" i="4"/>
  <c r="F306" i="4" s="1"/>
  <c r="C294" i="4"/>
  <c r="F294" i="4" s="1"/>
  <c r="C278" i="4"/>
  <c r="F278" i="4" s="1"/>
  <c r="C262" i="4"/>
  <c r="F262" i="4" s="1"/>
  <c r="C242" i="4"/>
  <c r="F242" i="4" s="1"/>
  <c r="C226" i="4"/>
  <c r="F226" i="4" s="1"/>
  <c r="I216" i="1"/>
  <c r="C215" i="4"/>
  <c r="F215" i="4" s="1"/>
  <c r="I220" i="1"/>
  <c r="C219" i="4"/>
  <c r="F219" i="4" s="1"/>
  <c r="I224" i="1"/>
  <c r="C223" i="4"/>
  <c r="F223" i="4" s="1"/>
  <c r="I228" i="1"/>
  <c r="C227" i="4"/>
  <c r="F227" i="4" s="1"/>
  <c r="I232" i="1"/>
  <c r="C231" i="4"/>
  <c r="F231" i="4" s="1"/>
  <c r="I236" i="1"/>
  <c r="C235" i="4"/>
  <c r="F235" i="4" s="1"/>
  <c r="I240" i="1"/>
  <c r="C239" i="4"/>
  <c r="F239" i="4" s="1"/>
  <c r="I244" i="1"/>
  <c r="C243" i="4"/>
  <c r="F243" i="4" s="1"/>
  <c r="I248" i="1"/>
  <c r="C247" i="4"/>
  <c r="F247" i="4" s="1"/>
  <c r="I252" i="1"/>
  <c r="C251" i="4"/>
  <c r="F251" i="4" s="1"/>
  <c r="I257" i="1"/>
  <c r="C255" i="4"/>
  <c r="F255" i="4" s="1"/>
  <c r="I265" i="1"/>
  <c r="C263" i="4"/>
  <c r="F263" i="4" s="1"/>
  <c r="I269" i="1"/>
  <c r="C267" i="4"/>
  <c r="F267" i="4" s="1"/>
  <c r="I274" i="1"/>
  <c r="C271" i="4"/>
  <c r="F271" i="4" s="1"/>
  <c r="I278" i="1"/>
  <c r="C275" i="4"/>
  <c r="F275" i="4" s="1"/>
  <c r="I282" i="1"/>
  <c r="C279" i="4"/>
  <c r="F279" i="4" s="1"/>
  <c r="I286" i="1"/>
  <c r="C283" i="4"/>
  <c r="F283" i="4" s="1"/>
  <c r="I290" i="1"/>
  <c r="C287" i="4"/>
  <c r="F287" i="4" s="1"/>
  <c r="I294" i="1"/>
  <c r="C291" i="4"/>
  <c r="F291" i="4" s="1"/>
  <c r="I298" i="1"/>
  <c r="C295" i="4"/>
  <c r="F295" i="4" s="1"/>
  <c r="C299" i="4"/>
  <c r="F299" i="4" s="1"/>
  <c r="I302" i="1"/>
  <c r="I306" i="1"/>
  <c r="C303" i="4"/>
  <c r="F303" i="4" s="1"/>
  <c r="I310" i="1"/>
  <c r="C307" i="4"/>
  <c r="F307" i="4" s="1"/>
  <c r="I314" i="1"/>
  <c r="C311" i="4"/>
  <c r="F311" i="4" s="1"/>
  <c r="I322" i="1"/>
  <c r="C319" i="4"/>
  <c r="F319" i="4" s="1"/>
  <c r="C301" i="4"/>
  <c r="F301" i="4" s="1"/>
  <c r="C293" i="4"/>
  <c r="F293" i="4" s="1"/>
  <c r="C285" i="4"/>
  <c r="F285" i="4" s="1"/>
  <c r="C225" i="4"/>
  <c r="F225" i="4" s="1"/>
  <c r="C221" i="4"/>
  <c r="F221" i="4" s="1"/>
  <c r="C320" i="4"/>
  <c r="F320" i="4" s="1"/>
  <c r="C316" i="4"/>
  <c r="F316" i="4" s="1"/>
  <c r="C308" i="4"/>
  <c r="F308" i="4" s="1"/>
  <c r="C304" i="4"/>
  <c r="F304" i="4" s="1"/>
  <c r="C300" i="4"/>
  <c r="F300" i="4" s="1"/>
  <c r="C296" i="4"/>
  <c r="F296" i="4" s="1"/>
  <c r="C292" i="4"/>
  <c r="F292" i="4" s="1"/>
  <c r="C288" i="4"/>
  <c r="F288" i="4" s="1"/>
  <c r="C284" i="4"/>
  <c r="F284" i="4" s="1"/>
  <c r="C280" i="4"/>
  <c r="F280" i="4" s="1"/>
  <c r="C276" i="4"/>
  <c r="F276" i="4" s="1"/>
  <c r="C272" i="4"/>
  <c r="F272" i="4" s="1"/>
  <c r="C268" i="4"/>
  <c r="F268" i="4" s="1"/>
  <c r="C264" i="4"/>
  <c r="F264" i="4" s="1"/>
  <c r="C260" i="4"/>
  <c r="F260" i="4" s="1"/>
  <c r="C256" i="4"/>
  <c r="F256" i="4" s="1"/>
  <c r="C252" i="4"/>
  <c r="F252" i="4" s="1"/>
  <c r="C248" i="4"/>
  <c r="F248" i="4" s="1"/>
  <c r="C244" i="4"/>
  <c r="F244" i="4" s="1"/>
  <c r="C240" i="4"/>
  <c r="F240" i="4" s="1"/>
  <c r="C236" i="4"/>
  <c r="F236" i="4" s="1"/>
  <c r="C232" i="4"/>
  <c r="F232" i="4" s="1"/>
  <c r="C228" i="4"/>
  <c r="F228" i="4" s="1"/>
  <c r="C224" i="4"/>
  <c r="F224" i="4" s="1"/>
  <c r="C220" i="4"/>
  <c r="F220" i="4" s="1"/>
  <c r="C216" i="4"/>
  <c r="F216" i="4" s="1"/>
  <c r="H260" i="1"/>
  <c r="J261" i="1"/>
  <c r="I261" i="1"/>
  <c r="I260" i="1"/>
  <c r="H5" i="3"/>
  <c r="I5" i="3" s="1"/>
  <c r="M260" i="1" l="1"/>
  <c r="E260" i="1"/>
  <c r="M261" i="1"/>
  <c r="E261" i="1"/>
  <c r="K261" i="1"/>
  <c r="K260" i="1"/>
  <c r="E3" i="6"/>
  <c r="E4" i="6"/>
  <c r="E5" i="6"/>
  <c r="F5" i="6" s="1"/>
  <c r="H5" i="1" s="1"/>
  <c r="E6" i="6"/>
  <c r="F6" i="6" s="1"/>
  <c r="E7" i="6"/>
  <c r="E8" i="6"/>
  <c r="F8" i="6" s="1"/>
  <c r="H8" i="1" s="1"/>
  <c r="E9" i="6"/>
  <c r="F9" i="6" s="1"/>
  <c r="H9" i="1" s="1"/>
  <c r="E10" i="6"/>
  <c r="F10" i="6" s="1"/>
  <c r="H10" i="1" s="1"/>
  <c r="E11" i="6"/>
  <c r="E12" i="6"/>
  <c r="E13" i="6"/>
  <c r="F13" i="6" s="1"/>
  <c r="H13" i="1" s="1"/>
  <c r="E14" i="6"/>
  <c r="F14" i="6" s="1"/>
  <c r="H14" i="1" s="1"/>
  <c r="E15" i="6"/>
  <c r="E16" i="6"/>
  <c r="F16" i="6" s="1"/>
  <c r="H16" i="1" s="1"/>
  <c r="E17" i="6"/>
  <c r="F17" i="6" s="1"/>
  <c r="H17" i="1" s="1"/>
  <c r="E18" i="6"/>
  <c r="F18" i="6" s="1"/>
  <c r="H18" i="1" s="1"/>
  <c r="E19" i="6"/>
  <c r="F19" i="6" s="1"/>
  <c r="H19" i="1" s="1"/>
  <c r="E20" i="6"/>
  <c r="E21" i="6"/>
  <c r="F21" i="6" s="1"/>
  <c r="H21" i="1" s="1"/>
  <c r="E22" i="6"/>
  <c r="F22" i="6" s="1"/>
  <c r="H22" i="1" s="1"/>
  <c r="E23" i="6"/>
  <c r="F23" i="6" s="1"/>
  <c r="H23" i="1" s="1"/>
  <c r="E24" i="6"/>
  <c r="F24" i="6" s="1"/>
  <c r="H24" i="1" s="1"/>
  <c r="E25" i="6"/>
  <c r="F25" i="6" s="1"/>
  <c r="H25" i="1" s="1"/>
  <c r="E26" i="6"/>
  <c r="F26" i="6" s="1"/>
  <c r="H26" i="1" s="1"/>
  <c r="E27" i="6"/>
  <c r="F27" i="6" s="1"/>
  <c r="H27" i="1" s="1"/>
  <c r="E28" i="6"/>
  <c r="E29" i="6"/>
  <c r="F29" i="6" s="1"/>
  <c r="H29" i="1" s="1"/>
  <c r="E30" i="6"/>
  <c r="F30" i="6" s="1"/>
  <c r="H30" i="1" s="1"/>
  <c r="E31" i="6"/>
  <c r="E32" i="6"/>
  <c r="F32" i="6" s="1"/>
  <c r="H32" i="1" s="1"/>
  <c r="E33" i="6"/>
  <c r="F33" i="6" s="1"/>
  <c r="H33" i="1" s="1"/>
  <c r="E34" i="6"/>
  <c r="F34" i="6" s="1"/>
  <c r="H34" i="1" s="1"/>
  <c r="E35" i="6"/>
  <c r="F35" i="6" s="1"/>
  <c r="H35" i="1" s="1"/>
  <c r="E36" i="6"/>
  <c r="E37" i="6"/>
  <c r="F37" i="6" s="1"/>
  <c r="H37" i="1" s="1"/>
  <c r="E38" i="6"/>
  <c r="F38" i="6" s="1"/>
  <c r="H38" i="1" s="1"/>
  <c r="E39" i="6"/>
  <c r="F39" i="6" s="1"/>
  <c r="H39" i="1" s="1"/>
  <c r="E40" i="6"/>
  <c r="F40" i="6" s="1"/>
  <c r="H40" i="1" s="1"/>
  <c r="E41" i="6"/>
  <c r="F41" i="6" s="1"/>
  <c r="H41" i="1" s="1"/>
  <c r="E42" i="6"/>
  <c r="F42" i="6" s="1"/>
  <c r="H42" i="1" s="1"/>
  <c r="E43" i="6"/>
  <c r="E44" i="6"/>
  <c r="E45" i="6"/>
  <c r="F45" i="6" s="1"/>
  <c r="H45" i="1" s="1"/>
  <c r="E46" i="6"/>
  <c r="F46" i="6" s="1"/>
  <c r="H46" i="1" s="1"/>
  <c r="E47" i="6"/>
  <c r="F47" i="6" s="1"/>
  <c r="H47" i="1" s="1"/>
  <c r="E48" i="6"/>
  <c r="F48" i="6" s="1"/>
  <c r="H48" i="1" s="1"/>
  <c r="E49" i="6"/>
  <c r="F49" i="6" s="1"/>
  <c r="H49" i="1" s="1"/>
  <c r="E50" i="6"/>
  <c r="F50" i="6" s="1"/>
  <c r="H50" i="1" s="1"/>
  <c r="E51" i="6"/>
  <c r="F51" i="6" s="1"/>
  <c r="H51" i="1" s="1"/>
  <c r="E52" i="6"/>
  <c r="E53" i="6"/>
  <c r="F53" i="6" s="1"/>
  <c r="H53" i="1" s="1"/>
  <c r="E54" i="6"/>
  <c r="F54" i="6" s="1"/>
  <c r="H54" i="1" s="1"/>
  <c r="E55" i="6"/>
  <c r="F55" i="6" s="1"/>
  <c r="H55" i="1" s="1"/>
  <c r="E56" i="6"/>
  <c r="F56" i="6" s="1"/>
  <c r="H57" i="1" s="1"/>
  <c r="E57" i="6"/>
  <c r="F57" i="6" s="1"/>
  <c r="H58" i="1" s="1"/>
  <c r="E58" i="6"/>
  <c r="F58" i="6" s="1"/>
  <c r="H59" i="1" s="1"/>
  <c r="E59" i="6"/>
  <c r="F59" i="6" s="1"/>
  <c r="H60" i="1" s="1"/>
  <c r="E60" i="6"/>
  <c r="E61" i="6"/>
  <c r="F61" i="6" s="1"/>
  <c r="H62" i="1" s="1"/>
  <c r="E62" i="6"/>
  <c r="F62" i="6" s="1"/>
  <c r="H63" i="1" s="1"/>
  <c r="E63" i="6"/>
  <c r="E64" i="6"/>
  <c r="F64" i="6" s="1"/>
  <c r="H65" i="1" s="1"/>
  <c r="E65" i="6"/>
  <c r="F65" i="6" s="1"/>
  <c r="H66" i="1" s="1"/>
  <c r="E66" i="6"/>
  <c r="F66" i="6" s="1"/>
  <c r="H67" i="1" s="1"/>
  <c r="E67" i="6"/>
  <c r="F67" i="6" s="1"/>
  <c r="H68" i="1" s="1"/>
  <c r="E68" i="6"/>
  <c r="E69" i="6"/>
  <c r="F69" i="6" s="1"/>
  <c r="H70" i="1" s="1"/>
  <c r="E70" i="6"/>
  <c r="F70" i="6" s="1"/>
  <c r="H71" i="1" s="1"/>
  <c r="E71" i="6"/>
  <c r="F71" i="6" s="1"/>
  <c r="H72" i="1" s="1"/>
  <c r="E72" i="6"/>
  <c r="F72" i="6" s="1"/>
  <c r="E73" i="6"/>
  <c r="F73" i="6" s="1"/>
  <c r="H74" i="1" s="1"/>
  <c r="E74" i="6"/>
  <c r="F74" i="6" s="1"/>
  <c r="H75" i="1" s="1"/>
  <c r="E75" i="6"/>
  <c r="E76" i="6"/>
  <c r="E77" i="6"/>
  <c r="F77" i="6" s="1"/>
  <c r="H78" i="1" s="1"/>
  <c r="E78" i="6"/>
  <c r="F78" i="6" s="1"/>
  <c r="H79" i="1" s="1"/>
  <c r="E79" i="6"/>
  <c r="F79" i="6" s="1"/>
  <c r="H80" i="1" s="1"/>
  <c r="E80" i="6"/>
  <c r="F80" i="6" s="1"/>
  <c r="H81" i="1" s="1"/>
  <c r="E81" i="6"/>
  <c r="F81" i="6" s="1"/>
  <c r="H82" i="1" s="1"/>
  <c r="E82" i="6"/>
  <c r="F82" i="6" s="1"/>
  <c r="H83" i="1" s="1"/>
  <c r="E83" i="6"/>
  <c r="F83" i="6" s="1"/>
  <c r="H84" i="1" s="1"/>
  <c r="E84" i="6"/>
  <c r="F84" i="6" s="1"/>
  <c r="H85" i="1" s="1"/>
  <c r="E85" i="6"/>
  <c r="F85" i="6" s="1"/>
  <c r="H86" i="1" s="1"/>
  <c r="E86" i="6"/>
  <c r="F86" i="6" s="1"/>
  <c r="H87" i="1" s="1"/>
  <c r="E87" i="6"/>
  <c r="E88" i="6"/>
  <c r="F88" i="6" s="1"/>
  <c r="H89" i="1" s="1"/>
  <c r="E89" i="6"/>
  <c r="F89" i="6" s="1"/>
  <c r="H90" i="1" s="1"/>
  <c r="E90" i="6"/>
  <c r="F90" i="6" s="1"/>
  <c r="H91" i="1" s="1"/>
  <c r="E91" i="6"/>
  <c r="F91" i="6" s="1"/>
  <c r="H92" i="1" s="1"/>
  <c r="E92" i="6"/>
  <c r="F92" i="6" s="1"/>
  <c r="H93" i="1" s="1"/>
  <c r="E93" i="6"/>
  <c r="F93" i="6" s="1"/>
  <c r="H94" i="1" s="1"/>
  <c r="E94" i="6"/>
  <c r="F94" i="6" s="1"/>
  <c r="H95" i="1" s="1"/>
  <c r="E95" i="6"/>
  <c r="F95" i="6" s="1"/>
  <c r="H96" i="1" s="1"/>
  <c r="E96" i="6"/>
  <c r="F96" i="6" s="1"/>
  <c r="H97" i="1" s="1"/>
  <c r="E97" i="6"/>
  <c r="F97" i="6" s="1"/>
  <c r="H98" i="1" s="1"/>
  <c r="E98" i="6"/>
  <c r="F98" i="6" s="1"/>
  <c r="H99" i="1" s="1"/>
  <c r="E99" i="6"/>
  <c r="F99" i="6" s="1"/>
  <c r="H100" i="1" s="1"/>
  <c r="E100" i="6"/>
  <c r="F100" i="6" s="1"/>
  <c r="H101" i="1" s="1"/>
  <c r="E101" i="6"/>
  <c r="F101" i="6" s="1"/>
  <c r="H102" i="1" s="1"/>
  <c r="E102" i="6"/>
  <c r="F102" i="6" s="1"/>
  <c r="H103" i="1" s="1"/>
  <c r="E103" i="6"/>
  <c r="E104" i="6"/>
  <c r="F104" i="6" s="1"/>
  <c r="H105" i="1" s="1"/>
  <c r="E105" i="6"/>
  <c r="F105" i="6" s="1"/>
  <c r="H106" i="1" s="1"/>
  <c r="E106" i="6"/>
  <c r="F106" i="6" s="1"/>
  <c r="H107" i="1" s="1"/>
  <c r="E107" i="6"/>
  <c r="F107" i="6" s="1"/>
  <c r="H108" i="1" s="1"/>
  <c r="E108" i="6"/>
  <c r="F108" i="6" s="1"/>
  <c r="H109" i="1" s="1"/>
  <c r="E109" i="6"/>
  <c r="F109" i="6" s="1"/>
  <c r="H110" i="1" s="1"/>
  <c r="E110" i="6"/>
  <c r="F110" i="6" s="1"/>
  <c r="H111" i="1" s="1"/>
  <c r="E111" i="6"/>
  <c r="F111" i="6" s="1"/>
  <c r="H112" i="1" s="1"/>
  <c r="E112" i="6"/>
  <c r="F112" i="6" s="1"/>
  <c r="H113" i="1" s="1"/>
  <c r="E113" i="6"/>
  <c r="F113" i="6" s="1"/>
  <c r="H114" i="1" s="1"/>
  <c r="E114" i="6"/>
  <c r="F114" i="6" s="1"/>
  <c r="H115" i="1" s="1"/>
  <c r="E115" i="6"/>
  <c r="F115" i="6" s="1"/>
  <c r="H116" i="1" s="1"/>
  <c r="E116" i="6"/>
  <c r="F116" i="6" s="1"/>
  <c r="H117" i="1" s="1"/>
  <c r="E117" i="6"/>
  <c r="F117" i="6" s="1"/>
  <c r="H118" i="1" s="1"/>
  <c r="E118" i="6"/>
  <c r="F118" i="6" s="1"/>
  <c r="H119" i="1" s="1"/>
  <c r="E119" i="6"/>
  <c r="E120" i="6"/>
  <c r="F120" i="6" s="1"/>
  <c r="H121" i="1" s="1"/>
  <c r="E121" i="6"/>
  <c r="F121" i="6" s="1"/>
  <c r="H122" i="1" s="1"/>
  <c r="E122" i="6"/>
  <c r="F122" i="6" s="1"/>
  <c r="H123" i="1" s="1"/>
  <c r="E123" i="6"/>
  <c r="F123" i="6" s="1"/>
  <c r="H124" i="1" s="1"/>
  <c r="E124" i="6"/>
  <c r="F124" i="6" s="1"/>
  <c r="H125" i="1" s="1"/>
  <c r="E125" i="6"/>
  <c r="F125" i="6" s="1"/>
  <c r="H126" i="1" s="1"/>
  <c r="E126" i="6"/>
  <c r="F126" i="6" s="1"/>
  <c r="H127" i="1" s="1"/>
  <c r="E127" i="6"/>
  <c r="F127" i="6" s="1"/>
  <c r="E128" i="6"/>
  <c r="F128" i="6" s="1"/>
  <c r="H129" i="1" s="1"/>
  <c r="E129" i="6"/>
  <c r="F129" i="6" s="1"/>
  <c r="H130" i="1" s="1"/>
  <c r="E130" i="6"/>
  <c r="F130" i="6" s="1"/>
  <c r="H131" i="1" s="1"/>
  <c r="E131" i="6"/>
  <c r="F131" i="6" s="1"/>
  <c r="H132" i="1" s="1"/>
  <c r="E132" i="6"/>
  <c r="F132" i="6" s="1"/>
  <c r="H133" i="1" s="1"/>
  <c r="E133" i="6"/>
  <c r="F133" i="6" s="1"/>
  <c r="H134" i="1" s="1"/>
  <c r="E134" i="6"/>
  <c r="F134" i="6" s="1"/>
  <c r="H135" i="1" s="1"/>
  <c r="E135" i="6"/>
  <c r="F135" i="6" s="1"/>
  <c r="H136" i="1" s="1"/>
  <c r="E136" i="6"/>
  <c r="F136" i="6" s="1"/>
  <c r="H137" i="1" s="1"/>
  <c r="E137" i="6"/>
  <c r="F137" i="6" s="1"/>
  <c r="H138" i="1" s="1"/>
  <c r="E138" i="6"/>
  <c r="F138" i="6" s="1"/>
  <c r="H139" i="1" s="1"/>
  <c r="E139" i="6"/>
  <c r="F139" i="6" s="1"/>
  <c r="H140" i="1" s="1"/>
  <c r="E140" i="6"/>
  <c r="F140" i="6" s="1"/>
  <c r="H141" i="1" s="1"/>
  <c r="E141" i="6"/>
  <c r="F141" i="6" s="1"/>
  <c r="H142" i="1" s="1"/>
  <c r="E142" i="6"/>
  <c r="F142" i="6" s="1"/>
  <c r="H143" i="1" s="1"/>
  <c r="E143" i="6"/>
  <c r="F143" i="6" s="1"/>
  <c r="H144" i="1" s="1"/>
  <c r="E144" i="6"/>
  <c r="F144" i="6" s="1"/>
  <c r="E145" i="6"/>
  <c r="F145" i="6" s="1"/>
  <c r="H146" i="1" s="1"/>
  <c r="E146" i="6"/>
  <c r="F146" i="6" s="1"/>
  <c r="H147" i="1" s="1"/>
  <c r="E147" i="6"/>
  <c r="F147" i="6" s="1"/>
  <c r="H148" i="1" s="1"/>
  <c r="E148" i="6"/>
  <c r="F148" i="6" s="1"/>
  <c r="H149" i="1" s="1"/>
  <c r="E149" i="6"/>
  <c r="F149" i="6" s="1"/>
  <c r="H150" i="1" s="1"/>
  <c r="E150" i="6"/>
  <c r="F150" i="6" s="1"/>
  <c r="H151" i="1" s="1"/>
  <c r="E151" i="6"/>
  <c r="F151" i="6" s="1"/>
  <c r="H152" i="1" s="1"/>
  <c r="E152" i="6"/>
  <c r="F152" i="6" s="1"/>
  <c r="H153" i="1" s="1"/>
  <c r="E153" i="6"/>
  <c r="F153" i="6" s="1"/>
  <c r="H154" i="1" s="1"/>
  <c r="E154" i="6"/>
  <c r="F154" i="6" s="1"/>
  <c r="H155" i="1" s="1"/>
  <c r="E155" i="6"/>
  <c r="F155" i="6" s="1"/>
  <c r="H156" i="1" s="1"/>
  <c r="E156" i="6"/>
  <c r="F156" i="6" s="1"/>
  <c r="H157" i="1" s="1"/>
  <c r="E157" i="6"/>
  <c r="F157" i="6" s="1"/>
  <c r="H158" i="1" s="1"/>
  <c r="E158" i="6"/>
  <c r="F158" i="6" s="1"/>
  <c r="H159" i="1" s="1"/>
  <c r="E159" i="6"/>
  <c r="F159" i="6" s="1"/>
  <c r="E160" i="6"/>
  <c r="F160" i="6" s="1"/>
  <c r="H161" i="1" s="1"/>
  <c r="E161" i="6"/>
  <c r="F161" i="6" s="1"/>
  <c r="H162" i="1" s="1"/>
  <c r="E162" i="6"/>
  <c r="F162" i="6" s="1"/>
  <c r="H163" i="1" s="1"/>
  <c r="E163" i="6"/>
  <c r="F163" i="6" s="1"/>
  <c r="H164" i="1" s="1"/>
  <c r="E164" i="6"/>
  <c r="F164" i="6" s="1"/>
  <c r="H165" i="1" s="1"/>
  <c r="E165" i="6"/>
  <c r="F165" i="6" s="1"/>
  <c r="H166" i="1" s="1"/>
  <c r="E166" i="6"/>
  <c r="F166" i="6" s="1"/>
  <c r="E167" i="6"/>
  <c r="F167" i="6" s="1"/>
  <c r="H168" i="1" s="1"/>
  <c r="E168" i="6"/>
  <c r="F168" i="6" s="1"/>
  <c r="H169" i="1" s="1"/>
  <c r="E169" i="6"/>
  <c r="F169" i="6" s="1"/>
  <c r="H170" i="1" s="1"/>
  <c r="E170" i="6"/>
  <c r="F170" i="6" s="1"/>
  <c r="H171" i="1" s="1"/>
  <c r="E171" i="6"/>
  <c r="F171" i="6" s="1"/>
  <c r="H172" i="1" s="1"/>
  <c r="E172" i="6"/>
  <c r="F172" i="6" s="1"/>
  <c r="H173" i="1" s="1"/>
  <c r="E173" i="6"/>
  <c r="F173" i="6" s="1"/>
  <c r="H174" i="1" s="1"/>
  <c r="E174" i="6"/>
  <c r="F174" i="6" s="1"/>
  <c r="H175" i="1" s="1"/>
  <c r="E175" i="6"/>
  <c r="F175" i="6" s="1"/>
  <c r="H176" i="1" s="1"/>
  <c r="E176" i="6"/>
  <c r="E177" i="6"/>
  <c r="F177" i="6" s="1"/>
  <c r="H178" i="1" s="1"/>
  <c r="E178" i="6"/>
  <c r="F178" i="6" s="1"/>
  <c r="H179" i="1" s="1"/>
  <c r="E179" i="6"/>
  <c r="F179" i="6" s="1"/>
  <c r="H180" i="1" s="1"/>
  <c r="E180" i="6"/>
  <c r="F180" i="6" s="1"/>
  <c r="E181" i="6"/>
  <c r="F181" i="6" s="1"/>
  <c r="E182" i="6"/>
  <c r="F182" i="6" s="1"/>
  <c r="H183" i="1" s="1"/>
  <c r="E183" i="6"/>
  <c r="F183" i="6" s="1"/>
  <c r="H184" i="1" s="1"/>
  <c r="E184" i="6"/>
  <c r="F184" i="6" s="1"/>
  <c r="H185" i="1" s="1"/>
  <c r="E185" i="6"/>
  <c r="F185" i="6" s="1"/>
  <c r="H186" i="1" s="1"/>
  <c r="E186" i="6"/>
  <c r="F186" i="6" s="1"/>
  <c r="H187" i="1" s="1"/>
  <c r="E187" i="6"/>
  <c r="F187" i="6" s="1"/>
  <c r="H188" i="1" s="1"/>
  <c r="E188" i="6"/>
  <c r="F188" i="6" s="1"/>
  <c r="H189" i="1" s="1"/>
  <c r="E189" i="6"/>
  <c r="F189" i="6" s="1"/>
  <c r="H190" i="1" s="1"/>
  <c r="E190" i="6"/>
  <c r="F190" i="6" s="1"/>
  <c r="H191" i="1" s="1"/>
  <c r="E191" i="6"/>
  <c r="F191" i="6" s="1"/>
  <c r="H192" i="1" s="1"/>
  <c r="E192" i="6"/>
  <c r="F192" i="6" s="1"/>
  <c r="H193" i="1" s="1"/>
  <c r="E193" i="6"/>
  <c r="F193" i="6" s="1"/>
  <c r="H194" i="1" s="1"/>
  <c r="E194" i="6"/>
  <c r="F194" i="6" s="1"/>
  <c r="H195" i="1" s="1"/>
  <c r="E195" i="6"/>
  <c r="F195" i="6" s="1"/>
  <c r="E196" i="6"/>
  <c r="F196" i="6" s="1"/>
  <c r="E197" i="6"/>
  <c r="F197" i="6" s="1"/>
  <c r="E198" i="6"/>
  <c r="F198" i="6" s="1"/>
  <c r="H199" i="1" s="1"/>
  <c r="E199" i="6"/>
  <c r="F199" i="6" s="1"/>
  <c r="H200" i="1" s="1"/>
  <c r="E200" i="6"/>
  <c r="F200" i="6" s="1"/>
  <c r="H201" i="1" s="1"/>
  <c r="E201" i="6"/>
  <c r="F201" i="6" s="1"/>
  <c r="H202" i="1" s="1"/>
  <c r="E202" i="6"/>
  <c r="F202" i="6" s="1"/>
  <c r="H203" i="1" s="1"/>
  <c r="E203" i="6"/>
  <c r="F203" i="6" s="1"/>
  <c r="H204" i="1" s="1"/>
  <c r="E204" i="6"/>
  <c r="F204" i="6" s="1"/>
  <c r="H205" i="1" s="1"/>
  <c r="E205" i="6"/>
  <c r="F205" i="6" s="1"/>
  <c r="H206" i="1" s="1"/>
  <c r="E206" i="6"/>
  <c r="F206" i="6" s="1"/>
  <c r="H207" i="1" s="1"/>
  <c r="E207" i="6"/>
  <c r="F207" i="6" s="1"/>
  <c r="H208" i="1" s="1"/>
  <c r="E208" i="6"/>
  <c r="F208" i="6" s="1"/>
  <c r="H209" i="1" s="1"/>
  <c r="E209" i="6"/>
  <c r="F209" i="6" s="1"/>
  <c r="H210" i="1" s="1"/>
  <c r="E210" i="6"/>
  <c r="F210" i="6" s="1"/>
  <c r="H211" i="1" s="1"/>
  <c r="E211" i="6"/>
  <c r="F211" i="6" s="1"/>
  <c r="H212" i="1" s="1"/>
  <c r="E212" i="6"/>
  <c r="F212" i="6" s="1"/>
  <c r="H213" i="1" s="1"/>
  <c r="E213" i="6"/>
  <c r="F213" i="6" s="1"/>
  <c r="H214" i="1" s="1"/>
  <c r="D3" i="2"/>
  <c r="E3" i="2" s="1"/>
  <c r="D4" i="2"/>
  <c r="E4" i="2" s="1"/>
  <c r="D5" i="2"/>
  <c r="E5" i="2" s="1"/>
  <c r="D6" i="2"/>
  <c r="E6" i="2" s="1"/>
  <c r="I6" i="1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C62" i="4" s="1"/>
  <c r="D63" i="2"/>
  <c r="E63" i="2" s="1"/>
  <c r="C63" i="4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C127" i="4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C165" i="4" s="1"/>
  <c r="D166" i="2"/>
  <c r="E166" i="2" s="1"/>
  <c r="C166" i="4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C195" i="4" s="1"/>
  <c r="D196" i="2"/>
  <c r="E196" i="2" s="1"/>
  <c r="C196" i="4" s="1"/>
  <c r="D197" i="2"/>
  <c r="E197" i="2" s="1"/>
  <c r="C197" i="4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" i="2"/>
  <c r="E2" i="2" s="1"/>
  <c r="G3" i="7"/>
  <c r="I3" i="7" s="1"/>
  <c r="G4" i="7"/>
  <c r="I4" i="7" s="1"/>
  <c r="G5" i="7"/>
  <c r="M5" i="7" s="1"/>
  <c r="G6" i="7"/>
  <c r="I6" i="7" s="1"/>
  <c r="G7" i="7"/>
  <c r="I7" i="7" s="1"/>
  <c r="G8" i="7"/>
  <c r="I8" i="7" s="1"/>
  <c r="K8" i="1" s="1"/>
  <c r="G9" i="7"/>
  <c r="I9" i="7" s="1"/>
  <c r="G10" i="7"/>
  <c r="I10" i="7" s="1"/>
  <c r="G11" i="7"/>
  <c r="I11" i="7" s="1"/>
  <c r="G12" i="7"/>
  <c r="I12" i="7" s="1"/>
  <c r="G13" i="7"/>
  <c r="I13" i="7" s="1"/>
  <c r="G14" i="7"/>
  <c r="I14" i="7" s="1"/>
  <c r="G15" i="7"/>
  <c r="I15" i="7" s="1"/>
  <c r="G16" i="7"/>
  <c r="I16" i="7" s="1"/>
  <c r="G17" i="7"/>
  <c r="I17" i="7" s="1"/>
  <c r="G18" i="7"/>
  <c r="I18" i="7" s="1"/>
  <c r="G19" i="7"/>
  <c r="I19" i="7" s="1"/>
  <c r="G20" i="7"/>
  <c r="I20" i="7" s="1"/>
  <c r="G21" i="7"/>
  <c r="M21" i="7" s="1"/>
  <c r="G22" i="7"/>
  <c r="I22" i="7" s="1"/>
  <c r="G23" i="7"/>
  <c r="I23" i="7" s="1"/>
  <c r="G24" i="7"/>
  <c r="I24" i="7" s="1"/>
  <c r="G25" i="7"/>
  <c r="I25" i="7" s="1"/>
  <c r="G26" i="7"/>
  <c r="I26" i="7" s="1"/>
  <c r="G27" i="7"/>
  <c r="I27" i="7" s="1"/>
  <c r="G28" i="7"/>
  <c r="I28" i="7" s="1"/>
  <c r="G29" i="7"/>
  <c r="I29" i="7" s="1"/>
  <c r="G30" i="7"/>
  <c r="I30" i="7" s="1"/>
  <c r="G31" i="7"/>
  <c r="I31" i="7" s="1"/>
  <c r="G32" i="7"/>
  <c r="I32" i="7" s="1"/>
  <c r="G33" i="7"/>
  <c r="I33" i="7" s="1"/>
  <c r="G34" i="7"/>
  <c r="I34" i="7" s="1"/>
  <c r="G35" i="7"/>
  <c r="I35" i="7" s="1"/>
  <c r="G36" i="7"/>
  <c r="I36" i="7" s="1"/>
  <c r="G37" i="7"/>
  <c r="M37" i="7" s="1"/>
  <c r="G38" i="7"/>
  <c r="I38" i="7" s="1"/>
  <c r="G39" i="7"/>
  <c r="I39" i="7" s="1"/>
  <c r="G40" i="7"/>
  <c r="I40" i="7" s="1"/>
  <c r="K40" i="1" s="1"/>
  <c r="G41" i="7"/>
  <c r="I41" i="7" s="1"/>
  <c r="G42" i="7"/>
  <c r="I42" i="7" s="1"/>
  <c r="G43" i="7"/>
  <c r="I43" i="7" s="1"/>
  <c r="G44" i="7"/>
  <c r="I44" i="7" s="1"/>
  <c r="G45" i="7"/>
  <c r="I45" i="7" s="1"/>
  <c r="G46" i="7"/>
  <c r="I46" i="7" s="1"/>
  <c r="G47" i="7"/>
  <c r="G48" i="7"/>
  <c r="I48" i="7" s="1"/>
  <c r="G49" i="7"/>
  <c r="I49" i="7" s="1"/>
  <c r="G50" i="7"/>
  <c r="I50" i="7" s="1"/>
  <c r="G51" i="7"/>
  <c r="G52" i="7"/>
  <c r="I52" i="7" s="1"/>
  <c r="G53" i="7"/>
  <c r="M53" i="7" s="1"/>
  <c r="G54" i="7"/>
  <c r="I54" i="7" s="1"/>
  <c r="G55" i="7"/>
  <c r="G56" i="7"/>
  <c r="I56" i="7" s="1"/>
  <c r="G57" i="7"/>
  <c r="M57" i="7" s="1"/>
  <c r="G58" i="7"/>
  <c r="M58" i="7" s="1"/>
  <c r="G59" i="7"/>
  <c r="G60" i="7"/>
  <c r="I60" i="7" s="1"/>
  <c r="G61" i="7"/>
  <c r="M61" i="7" s="1"/>
  <c r="G62" i="7"/>
  <c r="M62" i="7" s="1"/>
  <c r="G63" i="7"/>
  <c r="G64" i="7"/>
  <c r="I64" i="7" s="1"/>
  <c r="G65" i="7"/>
  <c r="M65" i="7" s="1"/>
  <c r="G66" i="7"/>
  <c r="I66" i="7" s="1"/>
  <c r="G67" i="7"/>
  <c r="G68" i="7"/>
  <c r="I68" i="7" s="1"/>
  <c r="G69" i="7"/>
  <c r="M69" i="7" s="1"/>
  <c r="G70" i="7"/>
  <c r="I70" i="7" s="1"/>
  <c r="G71" i="7"/>
  <c r="G72" i="7"/>
  <c r="I72" i="7" s="1"/>
  <c r="G73" i="7"/>
  <c r="M73" i="7" s="1"/>
  <c r="G74" i="7"/>
  <c r="M74" i="7" s="1"/>
  <c r="G75" i="7"/>
  <c r="G76" i="7"/>
  <c r="I76" i="7" s="1"/>
  <c r="G77" i="7"/>
  <c r="M77" i="7" s="1"/>
  <c r="G78" i="7"/>
  <c r="M78" i="7" s="1"/>
  <c r="G79" i="7"/>
  <c r="G80" i="7"/>
  <c r="I80" i="7" s="1"/>
  <c r="G81" i="7"/>
  <c r="M81" i="7" s="1"/>
  <c r="G82" i="7"/>
  <c r="I82" i="7" s="1"/>
  <c r="G83" i="7"/>
  <c r="G84" i="7"/>
  <c r="I84" i="7" s="1"/>
  <c r="G85" i="7"/>
  <c r="M85" i="7" s="1"/>
  <c r="G86" i="7"/>
  <c r="I86" i="7" s="1"/>
  <c r="G87" i="7"/>
  <c r="G88" i="7"/>
  <c r="I88" i="7" s="1"/>
  <c r="G89" i="7"/>
  <c r="M89" i="7" s="1"/>
  <c r="G90" i="7"/>
  <c r="I90" i="7" s="1"/>
  <c r="G91" i="7"/>
  <c r="G92" i="7"/>
  <c r="I92" i="7" s="1"/>
  <c r="G93" i="7"/>
  <c r="M93" i="7" s="1"/>
  <c r="G94" i="7"/>
  <c r="M94" i="7" s="1"/>
  <c r="G95" i="7"/>
  <c r="G96" i="7"/>
  <c r="I96" i="7" s="1"/>
  <c r="G97" i="7"/>
  <c r="M97" i="7" s="1"/>
  <c r="G98" i="7"/>
  <c r="I98" i="7" s="1"/>
  <c r="G99" i="7"/>
  <c r="G100" i="7"/>
  <c r="I100" i="7" s="1"/>
  <c r="G101" i="7"/>
  <c r="M101" i="7" s="1"/>
  <c r="G102" i="7"/>
  <c r="I102" i="7" s="1"/>
  <c r="G103" i="7"/>
  <c r="G104" i="7"/>
  <c r="I104" i="7" s="1"/>
  <c r="G105" i="7"/>
  <c r="M105" i="7" s="1"/>
  <c r="G106" i="7"/>
  <c r="I106" i="7" s="1"/>
  <c r="G107" i="7"/>
  <c r="G108" i="7"/>
  <c r="I108" i="7" s="1"/>
  <c r="G109" i="7"/>
  <c r="M109" i="7" s="1"/>
  <c r="G110" i="7"/>
  <c r="M110" i="7" s="1"/>
  <c r="G111" i="7"/>
  <c r="G112" i="7"/>
  <c r="I112" i="7" s="1"/>
  <c r="G113" i="7"/>
  <c r="M113" i="7" s="1"/>
  <c r="G114" i="7"/>
  <c r="I114" i="7" s="1"/>
  <c r="G115" i="7"/>
  <c r="G116" i="7"/>
  <c r="I116" i="7" s="1"/>
  <c r="K117" i="1" s="1"/>
  <c r="G117" i="7"/>
  <c r="M117" i="7" s="1"/>
  <c r="G118" i="7"/>
  <c r="I118" i="7" s="1"/>
  <c r="G119" i="7"/>
  <c r="G120" i="7"/>
  <c r="I120" i="7" s="1"/>
  <c r="G121" i="7"/>
  <c r="M121" i="7" s="1"/>
  <c r="G122" i="7"/>
  <c r="I122" i="7" s="1"/>
  <c r="G123" i="7"/>
  <c r="G124" i="7"/>
  <c r="I124" i="7" s="1"/>
  <c r="G125" i="7"/>
  <c r="M125" i="7" s="1"/>
  <c r="G126" i="7"/>
  <c r="M126" i="7" s="1"/>
  <c r="G127" i="7"/>
  <c r="G128" i="7"/>
  <c r="I128" i="7" s="1"/>
  <c r="G129" i="7"/>
  <c r="M129" i="7" s="1"/>
  <c r="G130" i="7"/>
  <c r="I130" i="7" s="1"/>
  <c r="G131" i="7"/>
  <c r="G132" i="7"/>
  <c r="I132" i="7" s="1"/>
  <c r="K133" i="1" s="1"/>
  <c r="G133" i="7"/>
  <c r="M133" i="7" s="1"/>
  <c r="G134" i="7"/>
  <c r="I134" i="7" s="1"/>
  <c r="G135" i="7"/>
  <c r="M135" i="7" s="1"/>
  <c r="G136" i="7"/>
  <c r="I136" i="7" s="1"/>
  <c r="G137" i="7"/>
  <c r="M137" i="7" s="1"/>
  <c r="G138" i="7"/>
  <c r="I138" i="7" s="1"/>
  <c r="G139" i="7"/>
  <c r="M139" i="7" s="1"/>
  <c r="G140" i="7"/>
  <c r="I140" i="7" s="1"/>
  <c r="G141" i="7"/>
  <c r="M141" i="7" s="1"/>
  <c r="G142" i="7"/>
  <c r="I142" i="7" s="1"/>
  <c r="G143" i="7"/>
  <c r="M143" i="7" s="1"/>
  <c r="G144" i="7"/>
  <c r="I144" i="7" s="1"/>
  <c r="G145" i="7"/>
  <c r="M145" i="7" s="1"/>
  <c r="G146" i="7"/>
  <c r="I146" i="7" s="1"/>
  <c r="G147" i="7"/>
  <c r="M147" i="7" s="1"/>
  <c r="G148" i="7"/>
  <c r="I148" i="7" s="1"/>
  <c r="K149" i="1" s="1"/>
  <c r="G149" i="7"/>
  <c r="M149" i="7" s="1"/>
  <c r="G150" i="7"/>
  <c r="I150" i="7" s="1"/>
  <c r="G151" i="7"/>
  <c r="M151" i="7" s="1"/>
  <c r="G152" i="7"/>
  <c r="I152" i="7" s="1"/>
  <c r="G153" i="7"/>
  <c r="M153" i="7" s="1"/>
  <c r="G154" i="7"/>
  <c r="I154" i="7" s="1"/>
  <c r="G155" i="7"/>
  <c r="M155" i="7" s="1"/>
  <c r="G156" i="7"/>
  <c r="I156" i="7" s="1"/>
  <c r="G157" i="7"/>
  <c r="M157" i="7" s="1"/>
  <c r="G158" i="7"/>
  <c r="I158" i="7" s="1"/>
  <c r="G159" i="7"/>
  <c r="M159" i="7" s="1"/>
  <c r="G160" i="7"/>
  <c r="I160" i="7" s="1"/>
  <c r="G161" i="7"/>
  <c r="M161" i="7" s="1"/>
  <c r="G162" i="7"/>
  <c r="I162" i="7" s="1"/>
  <c r="G163" i="7"/>
  <c r="M163" i="7" s="1"/>
  <c r="G164" i="7"/>
  <c r="I164" i="7" s="1"/>
  <c r="K165" i="1" s="1"/>
  <c r="G165" i="7"/>
  <c r="M165" i="7" s="1"/>
  <c r="G166" i="7"/>
  <c r="I166" i="7" s="1"/>
  <c r="G167" i="7"/>
  <c r="M167" i="7" s="1"/>
  <c r="G168" i="7"/>
  <c r="I168" i="7" s="1"/>
  <c r="G169" i="7"/>
  <c r="M169" i="7" s="1"/>
  <c r="G170" i="7"/>
  <c r="I170" i="7" s="1"/>
  <c r="G171" i="7"/>
  <c r="M171" i="7" s="1"/>
  <c r="G172" i="7"/>
  <c r="I172" i="7" s="1"/>
  <c r="G173" i="7"/>
  <c r="M173" i="7" s="1"/>
  <c r="G174" i="7"/>
  <c r="I174" i="7" s="1"/>
  <c r="G175" i="7"/>
  <c r="M175" i="7" s="1"/>
  <c r="G176" i="7"/>
  <c r="I176" i="7" s="1"/>
  <c r="G177" i="7"/>
  <c r="M177" i="7" s="1"/>
  <c r="G178" i="7"/>
  <c r="I178" i="7" s="1"/>
  <c r="G179" i="7"/>
  <c r="M179" i="7" s="1"/>
  <c r="G180" i="7"/>
  <c r="I180" i="7" s="1"/>
  <c r="G181" i="7"/>
  <c r="M181" i="7" s="1"/>
  <c r="G182" i="7"/>
  <c r="I182" i="7" s="1"/>
  <c r="G183" i="7"/>
  <c r="M183" i="7" s="1"/>
  <c r="G184" i="7"/>
  <c r="I184" i="7" s="1"/>
  <c r="G185" i="7"/>
  <c r="M185" i="7" s="1"/>
  <c r="G186" i="7"/>
  <c r="I186" i="7" s="1"/>
  <c r="G187" i="7"/>
  <c r="M187" i="7" s="1"/>
  <c r="G188" i="7"/>
  <c r="I188" i="7" s="1"/>
  <c r="G189" i="7"/>
  <c r="M189" i="7" s="1"/>
  <c r="G190" i="7"/>
  <c r="I190" i="7" s="1"/>
  <c r="G191" i="7"/>
  <c r="M191" i="7" s="1"/>
  <c r="G192" i="7"/>
  <c r="I192" i="7" s="1"/>
  <c r="G193" i="7"/>
  <c r="M193" i="7" s="1"/>
  <c r="G194" i="7"/>
  <c r="I194" i="7" s="1"/>
  <c r="G195" i="7"/>
  <c r="M195" i="7" s="1"/>
  <c r="G196" i="7"/>
  <c r="I196" i="7" s="1"/>
  <c r="K197" i="1" s="1"/>
  <c r="G197" i="7"/>
  <c r="M197" i="7" s="1"/>
  <c r="G198" i="7"/>
  <c r="I198" i="7" s="1"/>
  <c r="G199" i="7"/>
  <c r="M199" i="7" s="1"/>
  <c r="G200" i="7"/>
  <c r="I200" i="7" s="1"/>
  <c r="G201" i="7"/>
  <c r="M201" i="7" s="1"/>
  <c r="G202" i="7"/>
  <c r="I202" i="7" s="1"/>
  <c r="G203" i="7"/>
  <c r="M203" i="7" s="1"/>
  <c r="G204" i="7"/>
  <c r="I204" i="7" s="1"/>
  <c r="K205" i="1" s="1"/>
  <c r="G205" i="7"/>
  <c r="M205" i="7" s="1"/>
  <c r="G206" i="7"/>
  <c r="I206" i="7" s="1"/>
  <c r="G207" i="7"/>
  <c r="M207" i="7" s="1"/>
  <c r="G208" i="7"/>
  <c r="I208" i="7" s="1"/>
  <c r="G209" i="7"/>
  <c r="M209" i="7" s="1"/>
  <c r="G210" i="7"/>
  <c r="I210" i="7" s="1"/>
  <c r="G211" i="7"/>
  <c r="M211" i="7" s="1"/>
  <c r="G212" i="7"/>
  <c r="I212" i="7" s="1"/>
  <c r="K213" i="1" s="1"/>
  <c r="G213" i="7"/>
  <c r="M213" i="7" s="1"/>
  <c r="G2" i="7"/>
  <c r="I2" i="7" s="1"/>
  <c r="M2" i="7" s="1"/>
  <c r="K2" i="1" s="1"/>
  <c r="M160" i="7"/>
  <c r="K161" i="1" s="1"/>
  <c r="M140" i="7"/>
  <c r="K141" i="1" s="1"/>
  <c r="M124" i="7"/>
  <c r="K125" i="1" s="1"/>
  <c r="M88" i="7"/>
  <c r="K89" i="1" s="1"/>
  <c r="M64" i="7"/>
  <c r="K65" i="1" s="1"/>
  <c r="M36" i="7"/>
  <c r="K36" i="1" s="1"/>
  <c r="M17" i="7"/>
  <c r="K17" i="1" s="1"/>
  <c r="M8" i="7"/>
  <c r="M158" i="5"/>
  <c r="L3" i="1" s="1"/>
  <c r="M3" i="1" s="1"/>
  <c r="M178" i="5"/>
  <c r="L4" i="1" s="1"/>
  <c r="M4" i="1" s="1"/>
  <c r="M175" i="5"/>
  <c r="L5" i="1" s="1"/>
  <c r="M5" i="1" s="1"/>
  <c r="M92" i="5"/>
  <c r="L6" i="1" s="1"/>
  <c r="M6" i="1" s="1"/>
  <c r="M172" i="5"/>
  <c r="L7" i="1" s="1"/>
  <c r="M7" i="1" s="1"/>
  <c r="M169" i="5"/>
  <c r="L8" i="1" s="1"/>
  <c r="M8" i="1" s="1"/>
  <c r="M173" i="5"/>
  <c r="L9" i="1" s="1"/>
  <c r="M9" i="1" s="1"/>
  <c r="M161" i="5"/>
  <c r="L10" i="1" s="1"/>
  <c r="M10" i="1" s="1"/>
  <c r="M167" i="5"/>
  <c r="L11" i="1" s="1"/>
  <c r="M11" i="1" s="1"/>
  <c r="M164" i="5"/>
  <c r="L12" i="1" s="1"/>
  <c r="M12" i="1" s="1"/>
  <c r="M170" i="5"/>
  <c r="L13" i="1" s="1"/>
  <c r="M13" i="1" s="1"/>
  <c r="M168" i="5"/>
  <c r="L14" i="1" s="1"/>
  <c r="M14" i="1" s="1"/>
  <c r="M177" i="5"/>
  <c r="M160" i="5"/>
  <c r="L16" i="1" s="1"/>
  <c r="M16" i="1" s="1"/>
  <c r="M159" i="5"/>
  <c r="L17" i="1" s="1"/>
  <c r="M17" i="1" s="1"/>
  <c r="M156" i="5"/>
  <c r="L18" i="1" s="1"/>
  <c r="M166" i="5"/>
  <c r="L19" i="1" s="1"/>
  <c r="M19" i="1" s="1"/>
  <c r="M150" i="5"/>
  <c r="L20" i="1" s="1"/>
  <c r="M174" i="5"/>
  <c r="L21" i="1" s="1"/>
  <c r="M145" i="5"/>
  <c r="L22" i="1" s="1"/>
  <c r="M147" i="5"/>
  <c r="L23" i="1" s="1"/>
  <c r="M176" i="5"/>
  <c r="M171" i="5"/>
  <c r="L25" i="1" s="1"/>
  <c r="M153" i="5"/>
  <c r="L26" i="1" s="1"/>
  <c r="M318" i="5"/>
  <c r="L27" i="1" s="1"/>
  <c r="M139" i="5"/>
  <c r="L28" i="1" s="1"/>
  <c r="M146" i="5"/>
  <c r="L29" i="1" s="1"/>
  <c r="M135" i="5"/>
  <c r="L30" i="1" s="1"/>
  <c r="M140" i="5"/>
  <c r="L31" i="1" s="1"/>
  <c r="M165" i="5"/>
  <c r="L32" i="1" s="1"/>
  <c r="M144" i="5"/>
  <c r="L33" i="1" s="1"/>
  <c r="M319" i="5"/>
  <c r="L34" i="1" s="1"/>
  <c r="M154" i="5"/>
  <c r="L35" i="1" s="1"/>
  <c r="M152" i="5"/>
  <c r="L36" i="1" s="1"/>
  <c r="M322" i="5"/>
  <c r="M137" i="5"/>
  <c r="L38" i="1" s="1"/>
  <c r="M143" i="5"/>
  <c r="L39" i="1" s="1"/>
  <c r="M131" i="5"/>
  <c r="L40" i="1" s="1"/>
  <c r="M141" i="5"/>
  <c r="L41" i="1" s="1"/>
  <c r="M151" i="5"/>
  <c r="L42" i="1" s="1"/>
  <c r="M130" i="5"/>
  <c r="L43" i="1" s="1"/>
  <c r="M149" i="5"/>
  <c r="L44" i="1" s="1"/>
  <c r="M142" i="5"/>
  <c r="L45" i="1" s="1"/>
  <c r="M136" i="5"/>
  <c r="L46" i="1" s="1"/>
  <c r="M133" i="5"/>
  <c r="L47" i="1" s="1"/>
  <c r="M138" i="5"/>
  <c r="L48" i="1" s="1"/>
  <c r="M134" i="5"/>
  <c r="L49" i="1" s="1"/>
  <c r="M157" i="5"/>
  <c r="L50" i="1" s="1"/>
  <c r="M123" i="5"/>
  <c r="L51" i="1" s="1"/>
  <c r="M127" i="5"/>
  <c r="L52" i="1" s="1"/>
  <c r="M121" i="5"/>
  <c r="L53" i="1" s="1"/>
  <c r="M126" i="5"/>
  <c r="L54" i="1" s="1"/>
  <c r="M122" i="5"/>
  <c r="L55" i="1" s="1"/>
  <c r="M132" i="5"/>
  <c r="L57" i="1" s="1"/>
  <c r="M129" i="5"/>
  <c r="L58" i="1" s="1"/>
  <c r="M163" i="5"/>
  <c r="L59" i="1" s="1"/>
  <c r="M155" i="5"/>
  <c r="L60" i="1" s="1"/>
  <c r="M320" i="5"/>
  <c r="L61" i="1" s="1"/>
  <c r="M93" i="5"/>
  <c r="L62" i="1" s="1"/>
  <c r="M111" i="5"/>
  <c r="L63" i="1" s="1"/>
  <c r="M120" i="5"/>
  <c r="L64" i="1" s="1"/>
  <c r="M321" i="5"/>
  <c r="L65" i="1" s="1"/>
  <c r="M226" i="5"/>
  <c r="L66" i="1" s="1"/>
  <c r="M148" i="5"/>
  <c r="L67" i="1" s="1"/>
  <c r="M128" i="5"/>
  <c r="L68" i="1" s="1"/>
  <c r="M225" i="5"/>
  <c r="L69" i="1" s="1"/>
  <c r="M112" i="5"/>
  <c r="L70" i="1" s="1"/>
  <c r="M115" i="5"/>
  <c r="L71" i="1" s="1"/>
  <c r="M114" i="5"/>
  <c r="L72" i="1" s="1"/>
  <c r="M125" i="5"/>
  <c r="M117" i="5"/>
  <c r="L74" i="1" s="1"/>
  <c r="M224" i="5"/>
  <c r="L75" i="1" s="1"/>
  <c r="M119" i="5"/>
  <c r="L76" i="1" s="1"/>
  <c r="M222" i="5"/>
  <c r="L77" i="1" s="1"/>
  <c r="M220" i="5"/>
  <c r="L78" i="1" s="1"/>
  <c r="M215" i="5"/>
  <c r="L79" i="1" s="1"/>
  <c r="M113" i="5"/>
  <c r="L80" i="1" s="1"/>
  <c r="M214" i="5"/>
  <c r="L81" i="1" s="1"/>
  <c r="M227" i="5"/>
  <c r="L82" i="1" s="1"/>
  <c r="M207" i="5"/>
  <c r="L83" i="1" s="1"/>
  <c r="M213" i="5"/>
  <c r="L84" i="1" s="1"/>
  <c r="M209" i="5"/>
  <c r="L85" i="1" s="1"/>
  <c r="M205" i="5"/>
  <c r="L86" i="1" s="1"/>
  <c r="M201" i="5"/>
  <c r="L87" i="1" s="1"/>
  <c r="M198" i="5"/>
  <c r="L88" i="1" s="1"/>
  <c r="M208" i="5"/>
  <c r="L89" i="1" s="1"/>
  <c r="M203" i="5"/>
  <c r="L90" i="1" s="1"/>
  <c r="M204" i="5"/>
  <c r="L91" i="1" s="1"/>
  <c r="M193" i="5"/>
  <c r="L92" i="1" s="1"/>
  <c r="M192" i="5"/>
  <c r="L93" i="1" s="1"/>
  <c r="M211" i="5"/>
  <c r="L94" i="1" s="1"/>
  <c r="M221" i="5"/>
  <c r="L95" i="1" s="1"/>
  <c r="M124" i="5"/>
  <c r="L96" i="1" s="1"/>
  <c r="M59" i="5"/>
  <c r="L97" i="1" s="1"/>
  <c r="M200" i="5"/>
  <c r="L98" i="1" s="1"/>
  <c r="M197" i="5"/>
  <c r="L99" i="1" s="1"/>
  <c r="M202" i="5"/>
  <c r="L100" i="1" s="1"/>
  <c r="M118" i="5"/>
  <c r="L101" i="1" s="1"/>
  <c r="M196" i="5"/>
  <c r="L102" i="1" s="1"/>
  <c r="M247" i="5"/>
  <c r="L103" i="1" s="1"/>
  <c r="M251" i="5"/>
  <c r="L104" i="1" s="1"/>
  <c r="M248" i="5"/>
  <c r="L105" i="1" s="1"/>
  <c r="M195" i="5"/>
  <c r="L106" i="1" s="1"/>
  <c r="M206" i="5"/>
  <c r="L107" i="1" s="1"/>
  <c r="M239" i="5"/>
  <c r="L108" i="1" s="1"/>
  <c r="M94" i="5"/>
  <c r="L109" i="1" s="1"/>
  <c r="M235" i="5"/>
  <c r="L110" i="1" s="1"/>
  <c r="M232" i="5"/>
  <c r="L111" i="1" s="1"/>
  <c r="M230" i="5"/>
  <c r="L112" i="1" s="1"/>
  <c r="M95" i="5"/>
  <c r="L113" i="1" s="1"/>
  <c r="M96" i="5"/>
  <c r="L114" i="1" s="1"/>
  <c r="M246" i="5"/>
  <c r="L115" i="1" s="1"/>
  <c r="M237" i="5"/>
  <c r="L116" i="1" s="1"/>
  <c r="M238" i="5"/>
  <c r="L117" i="1" s="1"/>
  <c r="M250" i="5"/>
  <c r="L118" i="1" s="1"/>
  <c r="M233" i="5"/>
  <c r="L119" i="1" s="1"/>
  <c r="M184" i="5"/>
  <c r="L120" i="1" s="1"/>
  <c r="M241" i="5"/>
  <c r="L121" i="1" s="1"/>
  <c r="M245" i="5"/>
  <c r="L122" i="1" s="1"/>
  <c r="M212" i="5"/>
  <c r="L123" i="1" s="1"/>
  <c r="M240" i="5"/>
  <c r="L124" i="1" s="1"/>
  <c r="M316" i="5"/>
  <c r="L125" i="1" s="1"/>
  <c r="M249" i="5"/>
  <c r="L126" i="1" s="1"/>
  <c r="M185" i="5"/>
  <c r="L127" i="1" s="1"/>
  <c r="M182" i="5"/>
  <c r="L128" i="1" s="1"/>
  <c r="M109" i="5"/>
  <c r="L129" i="1" s="1"/>
  <c r="M242" i="5"/>
  <c r="L130" i="1" s="1"/>
  <c r="M244" i="5"/>
  <c r="L131" i="1" s="1"/>
  <c r="M231" i="5"/>
  <c r="L132" i="1" s="1"/>
  <c r="M228" i="5"/>
  <c r="L133" i="1" s="1"/>
  <c r="M191" i="5"/>
  <c r="L134" i="1" s="1"/>
  <c r="M236" i="5"/>
  <c r="M312" i="5"/>
  <c r="L136" i="1" s="1"/>
  <c r="M254" i="5"/>
  <c r="L137" i="1" s="1"/>
  <c r="M243" i="5"/>
  <c r="L138" i="1" s="1"/>
  <c r="M252" i="5"/>
  <c r="M253" i="5"/>
  <c r="L140" i="1" s="1"/>
  <c r="M183" i="5"/>
  <c r="M187" i="5"/>
  <c r="L142" i="1" s="1"/>
  <c r="M315" i="5"/>
  <c r="L143" i="1" s="1"/>
  <c r="M210" i="5"/>
  <c r="L144" i="1" s="1"/>
  <c r="M194" i="5"/>
  <c r="M97" i="5"/>
  <c r="L146" i="1" s="1"/>
  <c r="M108" i="5"/>
  <c r="L147" i="1" s="1"/>
  <c r="M106" i="5"/>
  <c r="L148" i="1" s="1"/>
  <c r="M105" i="5"/>
  <c r="L149" i="1" s="1"/>
  <c r="M189" i="5"/>
  <c r="L150" i="1" s="1"/>
  <c r="M98" i="5"/>
  <c r="L151" i="1" s="1"/>
  <c r="M107" i="5"/>
  <c r="L152" i="1" s="1"/>
  <c r="M99" i="5"/>
  <c r="L153" i="1" s="1"/>
  <c r="M306" i="5"/>
  <c r="L154" i="1" s="1"/>
  <c r="M216" i="5"/>
  <c r="L155" i="1" s="1"/>
  <c r="M311" i="5"/>
  <c r="L156" i="1" s="1"/>
  <c r="M219" i="5"/>
  <c r="L157" i="1" s="1"/>
  <c r="M307" i="5"/>
  <c r="L158" i="1" s="1"/>
  <c r="M305" i="5"/>
  <c r="M304" i="5"/>
  <c r="M317" i="5"/>
  <c r="L161" i="1" s="1"/>
  <c r="M190" i="5"/>
  <c r="L162" i="1" s="1"/>
  <c r="M84" i="5"/>
  <c r="L163" i="1" s="1"/>
  <c r="M188" i="5"/>
  <c r="L164" i="1" s="1"/>
  <c r="M308" i="5"/>
  <c r="L165" i="1" s="1"/>
  <c r="M309" i="5"/>
  <c r="L166" i="1" s="1"/>
  <c r="M181" i="5"/>
  <c r="M58" i="5"/>
  <c r="L168" i="1" s="1"/>
  <c r="M302" i="5"/>
  <c r="L169" i="1" s="1"/>
  <c r="M60" i="5"/>
  <c r="L170" i="1" s="1"/>
  <c r="M229" i="5"/>
  <c r="L171" i="1" s="1"/>
  <c r="M61" i="5"/>
  <c r="L172" i="1" s="1"/>
  <c r="M53" i="5"/>
  <c r="L173" i="1" s="1"/>
  <c r="M48" i="5"/>
  <c r="L174" i="1" s="1"/>
  <c r="M300" i="5"/>
  <c r="L175" i="1" s="1"/>
  <c r="M45" i="5"/>
  <c r="L176" i="1" s="1"/>
  <c r="M301" i="5"/>
  <c r="L177" i="1" s="1"/>
  <c r="M298" i="5"/>
  <c r="L178" i="1" s="1"/>
  <c r="M293" i="5"/>
  <c r="L179" i="1" s="1"/>
  <c r="M62" i="5"/>
  <c r="M63" i="5"/>
  <c r="M64" i="5"/>
  <c r="M314" i="5"/>
  <c r="L183" i="1" s="1"/>
  <c r="M100" i="5"/>
  <c r="L184" i="1" s="1"/>
  <c r="M313" i="5"/>
  <c r="L185" i="1" s="1"/>
  <c r="M49" i="5"/>
  <c r="L186" i="1" s="1"/>
  <c r="M65" i="5"/>
  <c r="L187" i="1" s="1"/>
  <c r="M101" i="5"/>
  <c r="L188" i="1" s="1"/>
  <c r="M186" i="5"/>
  <c r="L189" i="1" s="1"/>
  <c r="M303" i="5"/>
  <c r="L190" i="1" s="1"/>
  <c r="M290" i="5"/>
  <c r="L191" i="1" s="1"/>
  <c r="M66" i="5"/>
  <c r="L192" i="1" s="1"/>
  <c r="M67" i="5"/>
  <c r="L193" i="1" s="1"/>
  <c r="M292" i="5"/>
  <c r="L194" i="1" s="1"/>
  <c r="M102" i="5"/>
  <c r="L195" i="1" s="1"/>
  <c r="M68" i="5"/>
  <c r="L196" i="1" s="1"/>
  <c r="M39" i="5"/>
  <c r="L197" i="1" s="1"/>
  <c r="M103" i="5"/>
  <c r="L198" i="1" s="1"/>
  <c r="M69" i="5"/>
  <c r="L199" i="1" s="1"/>
  <c r="M287" i="5"/>
  <c r="L200" i="1" s="1"/>
  <c r="M40" i="5"/>
  <c r="L201" i="1" s="1"/>
  <c r="M41" i="5"/>
  <c r="L202" i="1" s="1"/>
  <c r="M294" i="5"/>
  <c r="L203" i="1" s="1"/>
  <c r="M288" i="5"/>
  <c r="L204" i="1" s="1"/>
  <c r="M70" i="5"/>
  <c r="L205" i="1" s="1"/>
  <c r="M199" i="5"/>
  <c r="L206" i="1" s="1"/>
  <c r="M46" i="5"/>
  <c r="L207" i="1" s="1"/>
  <c r="M71" i="5"/>
  <c r="L208" i="1" s="1"/>
  <c r="M72" i="5"/>
  <c r="L209" i="1" s="1"/>
  <c r="M38" i="5"/>
  <c r="L210" i="1" s="1"/>
  <c r="M88" i="5"/>
  <c r="L211" i="1" s="1"/>
  <c r="M284" i="5"/>
  <c r="L212" i="1" s="1"/>
  <c r="M179" i="5"/>
  <c r="L213" i="1" s="1"/>
  <c r="M42" i="5"/>
  <c r="L214" i="1" s="1"/>
  <c r="M162" i="5"/>
  <c r="F3" i="6"/>
  <c r="H3" i="1" s="1"/>
  <c r="F4" i="6"/>
  <c r="H4" i="1" s="1"/>
  <c r="F7" i="6"/>
  <c r="H7" i="1" s="1"/>
  <c r="F11" i="6"/>
  <c r="H11" i="1" s="1"/>
  <c r="F12" i="6"/>
  <c r="H12" i="1" s="1"/>
  <c r="F15" i="6"/>
  <c r="H15" i="1" s="1"/>
  <c r="F20" i="6"/>
  <c r="H20" i="1" s="1"/>
  <c r="F28" i="6"/>
  <c r="H28" i="1" s="1"/>
  <c r="F31" i="6"/>
  <c r="H31" i="1" s="1"/>
  <c r="F36" i="6"/>
  <c r="H36" i="1" s="1"/>
  <c r="F43" i="6"/>
  <c r="H43" i="1" s="1"/>
  <c r="F44" i="6"/>
  <c r="H44" i="1" s="1"/>
  <c r="F52" i="6"/>
  <c r="H52" i="1" s="1"/>
  <c r="F60" i="6"/>
  <c r="H61" i="1" s="1"/>
  <c r="F63" i="6"/>
  <c r="F68" i="6"/>
  <c r="H69" i="1" s="1"/>
  <c r="F75" i="6"/>
  <c r="H76" i="1" s="1"/>
  <c r="F76" i="6"/>
  <c r="H77" i="1" s="1"/>
  <c r="F87" i="6"/>
  <c r="H88" i="1" s="1"/>
  <c r="F103" i="6"/>
  <c r="H104" i="1" s="1"/>
  <c r="F119" i="6"/>
  <c r="H120" i="1" s="1"/>
  <c r="F176" i="6"/>
  <c r="H177" i="1" s="1"/>
  <c r="E2" i="6"/>
  <c r="F2" i="6" s="1"/>
  <c r="H2" i="1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" i="4"/>
  <c r="H32" i="3"/>
  <c r="I32" i="3" s="1"/>
  <c r="H33" i="3"/>
  <c r="I33" i="3" s="1"/>
  <c r="J33" i="1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J49" i="1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I64" i="3" s="1"/>
  <c r="H65" i="3"/>
  <c r="I65" i="3" s="1"/>
  <c r="H66" i="3"/>
  <c r="I66" i="3" s="1"/>
  <c r="J66" i="1" s="1"/>
  <c r="H67" i="3"/>
  <c r="I67" i="3" s="1"/>
  <c r="H68" i="3"/>
  <c r="I68" i="3" s="1"/>
  <c r="H69" i="3"/>
  <c r="I69" i="3" s="1"/>
  <c r="H70" i="3"/>
  <c r="I70" i="3" s="1"/>
  <c r="J70" i="1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J82" i="1" s="1"/>
  <c r="H83" i="3"/>
  <c r="I83" i="3" s="1"/>
  <c r="H84" i="3"/>
  <c r="I84" i="3" s="1"/>
  <c r="H85" i="3"/>
  <c r="I85" i="3" s="1"/>
  <c r="H86" i="3"/>
  <c r="I86" i="3" s="1"/>
  <c r="J86" i="1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J98" i="1" s="1"/>
  <c r="H99" i="3"/>
  <c r="I99" i="3" s="1"/>
  <c r="H100" i="3"/>
  <c r="I100" i="3" s="1"/>
  <c r="H101" i="3"/>
  <c r="I101" i="3" s="1"/>
  <c r="H102" i="3"/>
  <c r="I102" i="3" s="1"/>
  <c r="J102" i="1" s="1"/>
  <c r="H103" i="3"/>
  <c r="I103" i="3" s="1"/>
  <c r="H104" i="3"/>
  <c r="I104" i="3" s="1"/>
  <c r="H105" i="3"/>
  <c r="I105" i="3" s="1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I114" i="3" s="1"/>
  <c r="J114" i="1" s="1"/>
  <c r="H115" i="3"/>
  <c r="I115" i="3" s="1"/>
  <c r="H116" i="3"/>
  <c r="I116" i="3" s="1"/>
  <c r="H117" i="3"/>
  <c r="I117" i="3" s="1"/>
  <c r="H118" i="3"/>
  <c r="I118" i="3" s="1"/>
  <c r="J118" i="1" s="1"/>
  <c r="H119" i="3"/>
  <c r="I119" i="3" s="1"/>
  <c r="H120" i="3"/>
  <c r="I120" i="3" s="1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I128" i="3" s="1"/>
  <c r="H129" i="3"/>
  <c r="I129" i="3" s="1"/>
  <c r="J129" i="1" s="1"/>
  <c r="H130" i="3"/>
  <c r="I130" i="3" s="1"/>
  <c r="J130" i="1" s="1"/>
  <c r="H131" i="3"/>
  <c r="I131" i="3" s="1"/>
  <c r="H132" i="3"/>
  <c r="I132" i="3" s="1"/>
  <c r="H133" i="3"/>
  <c r="I133" i="3" s="1"/>
  <c r="H134" i="3"/>
  <c r="I134" i="3" s="1"/>
  <c r="J134" i="1" s="1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144" i="3"/>
  <c r="I144" i="3" s="1"/>
  <c r="H145" i="3"/>
  <c r="I145" i="3" s="1"/>
  <c r="H146" i="3"/>
  <c r="I146" i="3" s="1"/>
  <c r="J146" i="1" s="1"/>
  <c r="H147" i="3"/>
  <c r="I147" i="3" s="1"/>
  <c r="H148" i="3"/>
  <c r="I148" i="3" s="1"/>
  <c r="H149" i="3"/>
  <c r="I149" i="3" s="1"/>
  <c r="H150" i="3"/>
  <c r="I150" i="3" s="1"/>
  <c r="J150" i="1" s="1"/>
  <c r="H151" i="3"/>
  <c r="I151" i="3" s="1"/>
  <c r="H152" i="3"/>
  <c r="I152" i="3" s="1"/>
  <c r="H153" i="3"/>
  <c r="I153" i="3" s="1"/>
  <c r="H154" i="3"/>
  <c r="I154" i="3" s="1"/>
  <c r="H155" i="3"/>
  <c r="I155" i="3" s="1"/>
  <c r="H156" i="3"/>
  <c r="I156" i="3" s="1"/>
  <c r="H157" i="3"/>
  <c r="I157" i="3" s="1"/>
  <c r="H158" i="3"/>
  <c r="I158" i="3" s="1"/>
  <c r="H159" i="3"/>
  <c r="I159" i="3" s="1"/>
  <c r="H160" i="3"/>
  <c r="I160" i="3" s="1"/>
  <c r="H161" i="3"/>
  <c r="I161" i="3" s="1"/>
  <c r="H162" i="3"/>
  <c r="I162" i="3" s="1"/>
  <c r="J162" i="1" s="1"/>
  <c r="H163" i="3"/>
  <c r="I163" i="3" s="1"/>
  <c r="H164" i="3"/>
  <c r="I164" i="3" s="1"/>
  <c r="H165" i="3"/>
  <c r="I165" i="3" s="1"/>
  <c r="H166" i="3"/>
  <c r="I166" i="3" s="1"/>
  <c r="J166" i="1" s="1"/>
  <c r="H167" i="3"/>
  <c r="I167" i="3" s="1"/>
  <c r="J167" i="1" s="1"/>
  <c r="H168" i="3"/>
  <c r="I168" i="3" s="1"/>
  <c r="H169" i="3"/>
  <c r="I169" i="3" s="1"/>
  <c r="H170" i="3"/>
  <c r="I170" i="3" s="1"/>
  <c r="J170" i="1" s="1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I176" i="3" s="1"/>
  <c r="H177" i="3"/>
  <c r="I177" i="3" s="1"/>
  <c r="J177" i="1" s="1"/>
  <c r="H178" i="3"/>
  <c r="I178" i="3" s="1"/>
  <c r="H179" i="3"/>
  <c r="I179" i="3" s="1"/>
  <c r="H180" i="3"/>
  <c r="I180" i="3" s="1"/>
  <c r="H181" i="3"/>
  <c r="I181" i="3" s="1"/>
  <c r="H182" i="3"/>
  <c r="I182" i="3" s="1"/>
  <c r="H183" i="3"/>
  <c r="I183" i="3" s="1"/>
  <c r="H184" i="3"/>
  <c r="I184" i="3" s="1"/>
  <c r="H185" i="3"/>
  <c r="I185" i="3" s="1"/>
  <c r="H186" i="3"/>
  <c r="I186" i="3" s="1"/>
  <c r="J186" i="1" s="1"/>
  <c r="H187" i="3"/>
  <c r="I187" i="3" s="1"/>
  <c r="H188" i="3"/>
  <c r="I188" i="3" s="1"/>
  <c r="H189" i="3"/>
  <c r="I189" i="3" s="1"/>
  <c r="H190" i="3"/>
  <c r="I190" i="3" s="1"/>
  <c r="H191" i="3"/>
  <c r="I191" i="3" s="1"/>
  <c r="H192" i="3"/>
  <c r="I192" i="3" s="1"/>
  <c r="H193" i="3"/>
  <c r="I193" i="3" s="1"/>
  <c r="H194" i="3"/>
  <c r="I194" i="3" s="1"/>
  <c r="H195" i="3"/>
  <c r="I195" i="3" s="1"/>
  <c r="H196" i="3"/>
  <c r="I196" i="3" s="1"/>
  <c r="H197" i="3"/>
  <c r="I197" i="3" s="1"/>
  <c r="H198" i="3"/>
  <c r="I198" i="3" s="1"/>
  <c r="H199" i="3"/>
  <c r="I199" i="3" s="1"/>
  <c r="H200" i="3"/>
  <c r="I200" i="3" s="1"/>
  <c r="H201" i="3"/>
  <c r="I201" i="3" s="1"/>
  <c r="H202" i="3"/>
  <c r="I202" i="3" s="1"/>
  <c r="J202" i="1" s="1"/>
  <c r="H203" i="3"/>
  <c r="I203" i="3" s="1"/>
  <c r="H204" i="3"/>
  <c r="I204" i="3" s="1"/>
  <c r="H205" i="3"/>
  <c r="I205" i="3" s="1"/>
  <c r="H206" i="3"/>
  <c r="I206" i="3" s="1"/>
  <c r="H207" i="3"/>
  <c r="I207" i="3" s="1"/>
  <c r="H208" i="3"/>
  <c r="I208" i="3" s="1"/>
  <c r="H209" i="3"/>
  <c r="I209" i="3" s="1"/>
  <c r="H210" i="3"/>
  <c r="I210" i="3" s="1"/>
  <c r="H211" i="3"/>
  <c r="I211" i="3" s="1"/>
  <c r="H212" i="3"/>
  <c r="I212" i="3" s="1"/>
  <c r="H213" i="3"/>
  <c r="I213" i="3" s="1"/>
  <c r="H214" i="3"/>
  <c r="I214" i="3" s="1"/>
  <c r="J214" i="1" s="1"/>
  <c r="H215" i="3"/>
  <c r="I215" i="3" s="1"/>
  <c r="J215" i="1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" i="3"/>
  <c r="I3" i="3" s="1"/>
  <c r="J3" i="1" s="1"/>
  <c r="H4" i="3"/>
  <c r="I4" i="3" s="1"/>
  <c r="J4" i="1" s="1"/>
  <c r="H6" i="3"/>
  <c r="I6" i="3" s="1"/>
  <c r="J5" i="1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" i="3"/>
  <c r="I2" i="3" s="1"/>
  <c r="J2" i="1" s="1"/>
  <c r="L37" i="1" l="1"/>
  <c r="L73" i="1"/>
  <c r="L181" i="1"/>
  <c r="L180" i="1"/>
  <c r="L182" i="1"/>
  <c r="L15" i="1"/>
  <c r="M15" i="1" s="1"/>
  <c r="L24" i="1"/>
  <c r="L2" i="1"/>
  <c r="M2" i="1" s="1"/>
  <c r="L159" i="1"/>
  <c r="L160" i="1"/>
  <c r="L139" i="1"/>
  <c r="L145" i="1"/>
  <c r="J73" i="1"/>
  <c r="J12" i="1"/>
  <c r="J210" i="1"/>
  <c r="J206" i="1"/>
  <c r="J194" i="1"/>
  <c r="J190" i="1"/>
  <c r="J178" i="1"/>
  <c r="J174" i="1"/>
  <c r="J158" i="1"/>
  <c r="J154" i="1"/>
  <c r="J142" i="1"/>
  <c r="J138" i="1"/>
  <c r="J126" i="1"/>
  <c r="J122" i="1"/>
  <c r="J110" i="1"/>
  <c r="J106" i="1"/>
  <c r="J94" i="1"/>
  <c r="J90" i="1"/>
  <c r="J78" i="1"/>
  <c r="J74" i="1"/>
  <c r="J62" i="1"/>
  <c r="J58" i="1"/>
  <c r="J53" i="1"/>
  <c r="J45" i="1"/>
  <c r="J41" i="1"/>
  <c r="J37" i="1"/>
  <c r="J17" i="1"/>
  <c r="J29" i="1"/>
  <c r="J19" i="1"/>
  <c r="J15" i="1"/>
  <c r="J11" i="1"/>
  <c r="J7" i="1"/>
  <c r="J23" i="1"/>
  <c r="J25" i="1"/>
  <c r="J145" i="1"/>
  <c r="J18" i="1"/>
  <c r="J14" i="1"/>
  <c r="J10" i="1"/>
  <c r="J6" i="1"/>
  <c r="J22" i="1"/>
  <c r="M214" i="1"/>
  <c r="E214" i="1"/>
  <c r="M210" i="1"/>
  <c r="E210" i="1"/>
  <c r="M206" i="1"/>
  <c r="E206" i="1"/>
  <c r="M202" i="1"/>
  <c r="E202" i="1"/>
  <c r="M198" i="1"/>
  <c r="E198" i="1"/>
  <c r="M186" i="1"/>
  <c r="E186" i="1"/>
  <c r="M174" i="1"/>
  <c r="E174" i="1"/>
  <c r="M170" i="1"/>
  <c r="E170" i="1"/>
  <c r="M134" i="1"/>
  <c r="E134" i="1"/>
  <c r="M126" i="1"/>
  <c r="E126" i="1"/>
  <c r="M106" i="1"/>
  <c r="E106" i="1"/>
  <c r="M90" i="1"/>
  <c r="E90" i="1"/>
  <c r="M78" i="1"/>
  <c r="E78" i="1"/>
  <c r="M74" i="1"/>
  <c r="E74" i="1"/>
  <c r="M70" i="1"/>
  <c r="E70" i="1"/>
  <c r="M66" i="1"/>
  <c r="E66" i="1"/>
  <c r="M62" i="1"/>
  <c r="E62" i="1"/>
  <c r="M58" i="1"/>
  <c r="E58" i="1"/>
  <c r="M49" i="1"/>
  <c r="E49" i="1"/>
  <c r="M45" i="1"/>
  <c r="E45" i="1"/>
  <c r="M41" i="1"/>
  <c r="E41" i="1"/>
  <c r="M29" i="1"/>
  <c r="E29" i="1"/>
  <c r="M21" i="1"/>
  <c r="E21" i="1"/>
  <c r="E13" i="1"/>
  <c r="E9" i="1"/>
  <c r="M213" i="1"/>
  <c r="E213" i="1"/>
  <c r="M205" i="1"/>
  <c r="E205" i="1"/>
  <c r="M197" i="1"/>
  <c r="E197" i="1"/>
  <c r="M193" i="1"/>
  <c r="E193" i="1"/>
  <c r="M173" i="1"/>
  <c r="E173" i="1"/>
  <c r="M169" i="1"/>
  <c r="E169" i="1"/>
  <c r="M161" i="1"/>
  <c r="E161" i="1"/>
  <c r="M125" i="1"/>
  <c r="E125" i="1"/>
  <c r="M101" i="1"/>
  <c r="E101" i="1"/>
  <c r="M77" i="1"/>
  <c r="E77" i="1"/>
  <c r="M65" i="1"/>
  <c r="E65" i="1"/>
  <c r="M48" i="1"/>
  <c r="E48" i="1"/>
  <c r="M44" i="1"/>
  <c r="E44" i="1"/>
  <c r="M40" i="1"/>
  <c r="E40" i="1"/>
  <c r="M36" i="1"/>
  <c r="E36" i="1"/>
  <c r="M28" i="1"/>
  <c r="E28" i="1"/>
  <c r="M20" i="1"/>
  <c r="E20" i="1"/>
  <c r="E16" i="1"/>
  <c r="E12" i="1"/>
  <c r="E8" i="1"/>
  <c r="M208" i="1"/>
  <c r="E208" i="1"/>
  <c r="M192" i="1"/>
  <c r="E192" i="1"/>
  <c r="M176" i="1"/>
  <c r="E176" i="1"/>
  <c r="M172" i="1"/>
  <c r="E172" i="1"/>
  <c r="M148" i="1"/>
  <c r="E148" i="1"/>
  <c r="M104" i="1"/>
  <c r="E104" i="1"/>
  <c r="M96" i="1"/>
  <c r="E96" i="1"/>
  <c r="M80" i="1"/>
  <c r="E80" i="1"/>
  <c r="M60" i="1"/>
  <c r="E60" i="1"/>
  <c r="M55" i="1"/>
  <c r="E55" i="1"/>
  <c r="M51" i="1"/>
  <c r="E51" i="1"/>
  <c r="M43" i="1"/>
  <c r="E43" i="1"/>
  <c r="M39" i="1"/>
  <c r="E39" i="1"/>
  <c r="M31" i="1"/>
  <c r="E31" i="1"/>
  <c r="M23" i="1"/>
  <c r="E23" i="1"/>
  <c r="E11" i="1"/>
  <c r="E7" i="1"/>
  <c r="E3" i="1"/>
  <c r="M211" i="1"/>
  <c r="E211" i="1"/>
  <c r="M207" i="1"/>
  <c r="E207" i="1"/>
  <c r="M203" i="1"/>
  <c r="E203" i="1"/>
  <c r="M199" i="1"/>
  <c r="E199" i="1"/>
  <c r="M191" i="1"/>
  <c r="E191" i="1"/>
  <c r="M187" i="1"/>
  <c r="E187" i="1"/>
  <c r="M179" i="1"/>
  <c r="E179" i="1"/>
  <c r="M175" i="1"/>
  <c r="E175" i="1"/>
  <c r="M171" i="1"/>
  <c r="E171" i="1"/>
  <c r="M155" i="1"/>
  <c r="E155" i="1"/>
  <c r="M123" i="1"/>
  <c r="E123" i="1"/>
  <c r="M107" i="1"/>
  <c r="E107" i="1"/>
  <c r="M95" i="1"/>
  <c r="E95" i="1"/>
  <c r="M79" i="1"/>
  <c r="E79" i="1"/>
  <c r="M67" i="1"/>
  <c r="E67" i="1"/>
  <c r="M63" i="1"/>
  <c r="E63" i="1"/>
  <c r="M59" i="1"/>
  <c r="E59" i="1"/>
  <c r="M50" i="1"/>
  <c r="E50" i="1"/>
  <c r="M46" i="1"/>
  <c r="E46" i="1"/>
  <c r="M42" i="1"/>
  <c r="E42" i="1"/>
  <c r="M34" i="1"/>
  <c r="E34" i="1"/>
  <c r="M22" i="1"/>
  <c r="E22" i="1"/>
  <c r="M18" i="1"/>
  <c r="E18" i="1"/>
  <c r="E14" i="1"/>
  <c r="E10" i="1"/>
  <c r="E6" i="1"/>
  <c r="M48" i="7"/>
  <c r="K48" i="1" s="1"/>
  <c r="M96" i="7"/>
  <c r="K97" i="1" s="1"/>
  <c r="M144" i="7"/>
  <c r="M20" i="7"/>
  <c r="K20" i="1" s="1"/>
  <c r="M56" i="7"/>
  <c r="K57" i="1" s="1"/>
  <c r="M80" i="7"/>
  <c r="K81" i="1" s="1"/>
  <c r="M108" i="7"/>
  <c r="K109" i="1" s="1"/>
  <c r="M132" i="7"/>
  <c r="M148" i="7"/>
  <c r="M76" i="7"/>
  <c r="K77" i="1" s="1"/>
  <c r="M128" i="7"/>
  <c r="K129" i="1" s="1"/>
  <c r="M204" i="7"/>
  <c r="M24" i="7"/>
  <c r="M60" i="7"/>
  <c r="K61" i="1" s="1"/>
  <c r="M84" i="7"/>
  <c r="K85" i="1" s="1"/>
  <c r="M112" i="7"/>
  <c r="K113" i="1" s="1"/>
  <c r="M136" i="7"/>
  <c r="K137" i="1" s="1"/>
  <c r="M152" i="7"/>
  <c r="K153" i="1" s="1"/>
  <c r="M208" i="7"/>
  <c r="K209" i="1" s="1"/>
  <c r="M212" i="7"/>
  <c r="M192" i="7"/>
  <c r="K193" i="1" s="1"/>
  <c r="M200" i="7"/>
  <c r="K201" i="1" s="1"/>
  <c r="M196" i="7"/>
  <c r="M172" i="7"/>
  <c r="K173" i="1" s="1"/>
  <c r="M176" i="7"/>
  <c r="K177" i="1" s="1"/>
  <c r="M184" i="7"/>
  <c r="K185" i="1" s="1"/>
  <c r="M188" i="7"/>
  <c r="K189" i="1" s="1"/>
  <c r="M180" i="7"/>
  <c r="M168" i="7"/>
  <c r="K169" i="1" s="1"/>
  <c r="M164" i="7"/>
  <c r="M156" i="7"/>
  <c r="K157" i="1" s="1"/>
  <c r="M116" i="7"/>
  <c r="M120" i="7"/>
  <c r="K121" i="1" s="1"/>
  <c r="M92" i="7"/>
  <c r="K93" i="1" s="1"/>
  <c r="M100" i="7"/>
  <c r="K101" i="1" s="1"/>
  <c r="M104" i="7"/>
  <c r="K105" i="1" s="1"/>
  <c r="M72" i="7"/>
  <c r="M68" i="7"/>
  <c r="K69" i="1" s="1"/>
  <c r="M52" i="7"/>
  <c r="K52" i="1" s="1"/>
  <c r="M49" i="7"/>
  <c r="K49" i="1" s="1"/>
  <c r="M44" i="7"/>
  <c r="K44" i="1" s="1"/>
  <c r="M40" i="7"/>
  <c r="M28" i="7"/>
  <c r="K28" i="1" s="1"/>
  <c r="M32" i="7"/>
  <c r="K32" i="1" s="1"/>
  <c r="M16" i="7"/>
  <c r="K16" i="1" s="1"/>
  <c r="M12" i="7"/>
  <c r="K12" i="1" s="1"/>
  <c r="M4" i="7"/>
  <c r="K4" i="1" s="1"/>
  <c r="M50" i="7"/>
  <c r="K50" i="1" s="1"/>
  <c r="M9" i="7"/>
  <c r="K9" i="1" s="1"/>
  <c r="I69" i="7"/>
  <c r="K70" i="1" s="1"/>
  <c r="I37" i="7"/>
  <c r="K37" i="1" s="1"/>
  <c r="I5" i="7"/>
  <c r="K5" i="1" s="1"/>
  <c r="M41" i="7"/>
  <c r="K41" i="1" s="1"/>
  <c r="M33" i="7"/>
  <c r="K33" i="1" s="1"/>
  <c r="M25" i="7"/>
  <c r="K25" i="1" s="1"/>
  <c r="I53" i="7"/>
  <c r="K53" i="1" s="1"/>
  <c r="I21" i="7"/>
  <c r="K21" i="1" s="1"/>
  <c r="I213" i="7"/>
  <c r="K214" i="1" s="1"/>
  <c r="I205" i="7"/>
  <c r="K206" i="1" s="1"/>
  <c r="I197" i="7"/>
  <c r="K198" i="1" s="1"/>
  <c r="I189" i="7"/>
  <c r="K190" i="1" s="1"/>
  <c r="I181" i="7"/>
  <c r="I173" i="7"/>
  <c r="K174" i="1" s="1"/>
  <c r="I165" i="7"/>
  <c r="K166" i="1" s="1"/>
  <c r="I157" i="7"/>
  <c r="K158" i="1" s="1"/>
  <c r="I149" i="7"/>
  <c r="K150" i="1" s="1"/>
  <c r="I141" i="7"/>
  <c r="K142" i="1" s="1"/>
  <c r="I133" i="7"/>
  <c r="K134" i="1" s="1"/>
  <c r="I117" i="7"/>
  <c r="K118" i="1" s="1"/>
  <c r="I101" i="7"/>
  <c r="K102" i="1" s="1"/>
  <c r="I85" i="7"/>
  <c r="K86" i="1" s="1"/>
  <c r="M13" i="7"/>
  <c r="K13" i="1" s="1"/>
  <c r="M29" i="7"/>
  <c r="K29" i="1" s="1"/>
  <c r="M45" i="7"/>
  <c r="K45" i="1" s="1"/>
  <c r="I209" i="7"/>
  <c r="K210" i="1" s="1"/>
  <c r="I201" i="7"/>
  <c r="K202" i="1" s="1"/>
  <c r="I193" i="7"/>
  <c r="K194" i="1" s="1"/>
  <c r="I185" i="7"/>
  <c r="K186" i="1" s="1"/>
  <c r="I177" i="7"/>
  <c r="K178" i="1" s="1"/>
  <c r="I169" i="7"/>
  <c r="K170" i="1" s="1"/>
  <c r="I161" i="7"/>
  <c r="K162" i="1" s="1"/>
  <c r="I153" i="7"/>
  <c r="K154" i="1" s="1"/>
  <c r="I145" i="7"/>
  <c r="K146" i="1" s="1"/>
  <c r="I137" i="7"/>
  <c r="K138" i="1" s="1"/>
  <c r="F196" i="4"/>
  <c r="I73" i="1"/>
  <c r="F195" i="4"/>
  <c r="I160" i="1"/>
  <c r="F127" i="4"/>
  <c r="F63" i="4"/>
  <c r="I74" i="1"/>
  <c r="C73" i="4"/>
  <c r="F73" i="4" s="1"/>
  <c r="I106" i="1"/>
  <c r="C105" i="4"/>
  <c r="F105" i="4" s="1"/>
  <c r="I189" i="1"/>
  <c r="C188" i="4"/>
  <c r="F188" i="4" s="1"/>
  <c r="I173" i="1"/>
  <c r="C172" i="4"/>
  <c r="F172" i="4" s="1"/>
  <c r="I165" i="1"/>
  <c r="C164" i="4"/>
  <c r="F164" i="4" s="1"/>
  <c r="I157" i="1"/>
  <c r="C156" i="4"/>
  <c r="F156" i="4" s="1"/>
  <c r="I149" i="1"/>
  <c r="C148" i="4"/>
  <c r="F148" i="4" s="1"/>
  <c r="I141" i="1"/>
  <c r="C140" i="4"/>
  <c r="F140" i="4" s="1"/>
  <c r="I133" i="1"/>
  <c r="C132" i="4"/>
  <c r="F132" i="4" s="1"/>
  <c r="I125" i="1"/>
  <c r="C124" i="4"/>
  <c r="F124" i="4" s="1"/>
  <c r="I117" i="1"/>
  <c r="C116" i="4"/>
  <c r="F116" i="4" s="1"/>
  <c r="I109" i="1"/>
  <c r="C108" i="4"/>
  <c r="F108" i="4" s="1"/>
  <c r="I101" i="1"/>
  <c r="C100" i="4"/>
  <c r="F100" i="4" s="1"/>
  <c r="I93" i="1"/>
  <c r="C92" i="4"/>
  <c r="F92" i="4" s="1"/>
  <c r="I85" i="1"/>
  <c r="C84" i="4"/>
  <c r="F84" i="4" s="1"/>
  <c r="I65" i="1"/>
  <c r="C64" i="4"/>
  <c r="F64" i="4" s="1"/>
  <c r="I57" i="1"/>
  <c r="C56" i="4"/>
  <c r="F56" i="4" s="1"/>
  <c r="I48" i="1"/>
  <c r="C48" i="4"/>
  <c r="F48" i="4" s="1"/>
  <c r="I40" i="1"/>
  <c r="C40" i="4"/>
  <c r="F40" i="4" s="1"/>
  <c r="I32" i="1"/>
  <c r="C32" i="4"/>
  <c r="F32" i="4" s="1"/>
  <c r="I16" i="1"/>
  <c r="C16" i="4"/>
  <c r="F16" i="4" s="1"/>
  <c r="I8" i="1"/>
  <c r="C8" i="4"/>
  <c r="F8" i="4" s="1"/>
  <c r="I41" i="1"/>
  <c r="C41" i="4"/>
  <c r="F41" i="4" s="1"/>
  <c r="I212" i="1"/>
  <c r="C211" i="4"/>
  <c r="F211" i="4" s="1"/>
  <c r="I208" i="1"/>
  <c r="C207" i="4"/>
  <c r="F207" i="4" s="1"/>
  <c r="I204" i="1"/>
  <c r="C203" i="4"/>
  <c r="F203" i="4" s="1"/>
  <c r="I200" i="1"/>
  <c r="C199" i="4"/>
  <c r="F199" i="4" s="1"/>
  <c r="I192" i="1"/>
  <c r="C191" i="4"/>
  <c r="F191" i="4" s="1"/>
  <c r="I188" i="1"/>
  <c r="C187" i="4"/>
  <c r="F187" i="4" s="1"/>
  <c r="I184" i="1"/>
  <c r="C183" i="4"/>
  <c r="F183" i="4" s="1"/>
  <c r="I180" i="1"/>
  <c r="C179" i="4"/>
  <c r="F179" i="4" s="1"/>
  <c r="C180" i="4"/>
  <c r="F180" i="4" s="1"/>
  <c r="C181" i="4"/>
  <c r="F181" i="4" s="1"/>
  <c r="I176" i="1"/>
  <c r="C175" i="4"/>
  <c r="F175" i="4" s="1"/>
  <c r="I172" i="1"/>
  <c r="C171" i="4"/>
  <c r="F171" i="4" s="1"/>
  <c r="I168" i="1"/>
  <c r="C167" i="4"/>
  <c r="F167" i="4" s="1"/>
  <c r="I164" i="1"/>
  <c r="C163" i="4"/>
  <c r="F163" i="4" s="1"/>
  <c r="I156" i="1"/>
  <c r="C155" i="4"/>
  <c r="F155" i="4" s="1"/>
  <c r="I152" i="1"/>
  <c r="C151" i="4"/>
  <c r="F151" i="4" s="1"/>
  <c r="I148" i="1"/>
  <c r="C147" i="4"/>
  <c r="F147" i="4" s="1"/>
  <c r="I144" i="1"/>
  <c r="C143" i="4"/>
  <c r="F143" i="4" s="1"/>
  <c r="I140" i="1"/>
  <c r="C139" i="4"/>
  <c r="F139" i="4" s="1"/>
  <c r="I136" i="1"/>
  <c r="C135" i="4"/>
  <c r="F135" i="4" s="1"/>
  <c r="I132" i="1"/>
  <c r="C131" i="4"/>
  <c r="F131" i="4" s="1"/>
  <c r="I124" i="1"/>
  <c r="C123" i="4"/>
  <c r="F123" i="4" s="1"/>
  <c r="I120" i="1"/>
  <c r="C119" i="4"/>
  <c r="F119" i="4" s="1"/>
  <c r="I116" i="1"/>
  <c r="C115" i="4"/>
  <c r="F115" i="4" s="1"/>
  <c r="I112" i="1"/>
  <c r="C111" i="4"/>
  <c r="F111" i="4" s="1"/>
  <c r="I108" i="1"/>
  <c r="C107" i="4"/>
  <c r="F107" i="4" s="1"/>
  <c r="I104" i="1"/>
  <c r="C103" i="4"/>
  <c r="F103" i="4" s="1"/>
  <c r="I100" i="1"/>
  <c r="C99" i="4"/>
  <c r="F99" i="4" s="1"/>
  <c r="I96" i="1"/>
  <c r="C95" i="4"/>
  <c r="F95" i="4" s="1"/>
  <c r="I92" i="1"/>
  <c r="C91" i="4"/>
  <c r="F91" i="4" s="1"/>
  <c r="I88" i="1"/>
  <c r="C87" i="4"/>
  <c r="F87" i="4" s="1"/>
  <c r="I84" i="1"/>
  <c r="C83" i="4"/>
  <c r="F83" i="4" s="1"/>
  <c r="I80" i="1"/>
  <c r="C79" i="4"/>
  <c r="F79" i="4" s="1"/>
  <c r="I76" i="1"/>
  <c r="C75" i="4"/>
  <c r="F75" i="4" s="1"/>
  <c r="I72" i="1"/>
  <c r="C71" i="4"/>
  <c r="F71" i="4" s="1"/>
  <c r="I68" i="1"/>
  <c r="C67" i="4"/>
  <c r="F67" i="4" s="1"/>
  <c r="I60" i="1"/>
  <c r="C59" i="4"/>
  <c r="F59" i="4" s="1"/>
  <c r="I55" i="1"/>
  <c r="C55" i="4"/>
  <c r="F55" i="4" s="1"/>
  <c r="I51" i="1"/>
  <c r="C51" i="4"/>
  <c r="F51" i="4" s="1"/>
  <c r="I47" i="1"/>
  <c r="C47" i="4"/>
  <c r="F47" i="4" s="1"/>
  <c r="I43" i="1"/>
  <c r="C43" i="4"/>
  <c r="F43" i="4" s="1"/>
  <c r="I39" i="1"/>
  <c r="C39" i="4"/>
  <c r="F39" i="4" s="1"/>
  <c r="I35" i="1"/>
  <c r="C35" i="4"/>
  <c r="F35" i="4" s="1"/>
  <c r="I31" i="1"/>
  <c r="C31" i="4"/>
  <c r="F31" i="4" s="1"/>
  <c r="I27" i="1"/>
  <c r="C27" i="4"/>
  <c r="F27" i="4" s="1"/>
  <c r="I23" i="1"/>
  <c r="C23" i="4"/>
  <c r="F23" i="4" s="1"/>
  <c r="I19" i="1"/>
  <c r="C19" i="4"/>
  <c r="F19" i="4" s="1"/>
  <c r="I15" i="1"/>
  <c r="C15" i="4"/>
  <c r="F15" i="4" s="1"/>
  <c r="C24" i="4"/>
  <c r="F24" i="4" s="1"/>
  <c r="I11" i="1"/>
  <c r="C11" i="4"/>
  <c r="F11" i="4" s="1"/>
  <c r="I7" i="1"/>
  <c r="C7" i="4"/>
  <c r="F7" i="4" s="1"/>
  <c r="I3" i="1"/>
  <c r="C3" i="4"/>
  <c r="F3" i="4" s="1"/>
  <c r="I9" i="1"/>
  <c r="C9" i="4"/>
  <c r="F9" i="4" s="1"/>
  <c r="I2" i="1"/>
  <c r="C2" i="4"/>
  <c r="F2" i="4" s="1"/>
  <c r="I211" i="1"/>
  <c r="C210" i="4"/>
  <c r="F210" i="4" s="1"/>
  <c r="I207" i="1"/>
  <c r="C206" i="4"/>
  <c r="F206" i="4" s="1"/>
  <c r="I203" i="1"/>
  <c r="C202" i="4"/>
  <c r="F202" i="4" s="1"/>
  <c r="I199" i="1"/>
  <c r="C198" i="4"/>
  <c r="F198" i="4" s="1"/>
  <c r="I195" i="1"/>
  <c r="C194" i="4"/>
  <c r="F194" i="4" s="1"/>
  <c r="I191" i="1"/>
  <c r="C190" i="4"/>
  <c r="F190" i="4" s="1"/>
  <c r="I187" i="1"/>
  <c r="C186" i="4"/>
  <c r="F186" i="4" s="1"/>
  <c r="I183" i="1"/>
  <c r="C182" i="4"/>
  <c r="F182" i="4" s="1"/>
  <c r="I179" i="1"/>
  <c r="C178" i="4"/>
  <c r="F178" i="4" s="1"/>
  <c r="I175" i="1"/>
  <c r="C174" i="4"/>
  <c r="F174" i="4" s="1"/>
  <c r="I171" i="1"/>
  <c r="C170" i="4"/>
  <c r="F170" i="4" s="1"/>
  <c r="F166" i="4"/>
  <c r="I163" i="1"/>
  <c r="C162" i="4"/>
  <c r="F162" i="4" s="1"/>
  <c r="I159" i="1"/>
  <c r="C159" i="4"/>
  <c r="F159" i="4" s="1"/>
  <c r="C158" i="4"/>
  <c r="F158" i="4" s="1"/>
  <c r="I155" i="1"/>
  <c r="C154" i="4"/>
  <c r="F154" i="4" s="1"/>
  <c r="I151" i="1"/>
  <c r="C150" i="4"/>
  <c r="F150" i="4" s="1"/>
  <c r="I147" i="1"/>
  <c r="C146" i="4"/>
  <c r="F146" i="4" s="1"/>
  <c r="I143" i="1"/>
  <c r="C142" i="4"/>
  <c r="F142" i="4" s="1"/>
  <c r="I139" i="1"/>
  <c r="C144" i="4"/>
  <c r="F144" i="4" s="1"/>
  <c r="C138" i="4"/>
  <c r="F138" i="4" s="1"/>
  <c r="I135" i="1"/>
  <c r="C134" i="4"/>
  <c r="F134" i="4" s="1"/>
  <c r="I131" i="1"/>
  <c r="C130" i="4"/>
  <c r="F130" i="4" s="1"/>
  <c r="I127" i="1"/>
  <c r="C126" i="4"/>
  <c r="F126" i="4" s="1"/>
  <c r="I123" i="1"/>
  <c r="C122" i="4"/>
  <c r="F122" i="4" s="1"/>
  <c r="I119" i="1"/>
  <c r="C118" i="4"/>
  <c r="F118" i="4" s="1"/>
  <c r="I115" i="1"/>
  <c r="C114" i="4"/>
  <c r="F114" i="4" s="1"/>
  <c r="I111" i="1"/>
  <c r="C110" i="4"/>
  <c r="F110" i="4" s="1"/>
  <c r="I107" i="1"/>
  <c r="C106" i="4"/>
  <c r="F106" i="4" s="1"/>
  <c r="I103" i="1"/>
  <c r="C102" i="4"/>
  <c r="F102" i="4" s="1"/>
  <c r="I99" i="1"/>
  <c r="C98" i="4"/>
  <c r="F98" i="4" s="1"/>
  <c r="I95" i="1"/>
  <c r="C94" i="4"/>
  <c r="F94" i="4" s="1"/>
  <c r="I91" i="1"/>
  <c r="C90" i="4"/>
  <c r="F90" i="4" s="1"/>
  <c r="I87" i="1"/>
  <c r="C86" i="4"/>
  <c r="F86" i="4" s="1"/>
  <c r="I83" i="1"/>
  <c r="C82" i="4"/>
  <c r="F82" i="4" s="1"/>
  <c r="I79" i="1"/>
  <c r="C78" i="4"/>
  <c r="F78" i="4" s="1"/>
  <c r="I75" i="1"/>
  <c r="C74" i="4"/>
  <c r="F74" i="4" s="1"/>
  <c r="I71" i="1"/>
  <c r="C70" i="4"/>
  <c r="F70" i="4" s="1"/>
  <c r="I67" i="1"/>
  <c r="C66" i="4"/>
  <c r="F66" i="4" s="1"/>
  <c r="F62" i="4"/>
  <c r="I59" i="1"/>
  <c r="C58" i="4"/>
  <c r="F58" i="4" s="1"/>
  <c r="I54" i="1"/>
  <c r="C54" i="4"/>
  <c r="F54" i="4" s="1"/>
  <c r="I50" i="1"/>
  <c r="C50" i="4"/>
  <c r="F50" i="4" s="1"/>
  <c r="I46" i="1"/>
  <c r="C46" i="4"/>
  <c r="F46" i="4" s="1"/>
  <c r="I42" i="1"/>
  <c r="C42" i="4"/>
  <c r="F42" i="4" s="1"/>
  <c r="I38" i="1"/>
  <c r="C38" i="4"/>
  <c r="F38" i="4" s="1"/>
  <c r="I34" i="1"/>
  <c r="C34" i="4"/>
  <c r="F34" i="4" s="1"/>
  <c r="I30" i="1"/>
  <c r="C30" i="4"/>
  <c r="F30" i="4" s="1"/>
  <c r="I26" i="1"/>
  <c r="C26" i="4"/>
  <c r="F26" i="4" s="1"/>
  <c r="I22" i="1"/>
  <c r="C22" i="4"/>
  <c r="F22" i="4" s="1"/>
  <c r="I18" i="1"/>
  <c r="C18" i="4"/>
  <c r="F18" i="4" s="1"/>
  <c r="I14" i="1"/>
  <c r="C14" i="4"/>
  <c r="F14" i="4" s="1"/>
  <c r="I10" i="1"/>
  <c r="C10" i="4"/>
  <c r="F10" i="4" s="1"/>
  <c r="I213" i="1"/>
  <c r="C212" i="4"/>
  <c r="F212" i="4" s="1"/>
  <c r="I209" i="1"/>
  <c r="C208" i="4"/>
  <c r="F208" i="4" s="1"/>
  <c r="I205" i="1"/>
  <c r="C204" i="4"/>
  <c r="F204" i="4" s="1"/>
  <c r="I201" i="1"/>
  <c r="C200" i="4"/>
  <c r="F200" i="4" s="1"/>
  <c r="I193" i="1"/>
  <c r="C192" i="4"/>
  <c r="F192" i="4" s="1"/>
  <c r="I185" i="1"/>
  <c r="C184" i="4"/>
  <c r="F184" i="4" s="1"/>
  <c r="I177" i="1"/>
  <c r="C176" i="4"/>
  <c r="F176" i="4" s="1"/>
  <c r="I169" i="1"/>
  <c r="C168" i="4"/>
  <c r="F168" i="4" s="1"/>
  <c r="I161" i="1"/>
  <c r="C160" i="4"/>
  <c r="F160" i="4" s="1"/>
  <c r="I153" i="1"/>
  <c r="C152" i="4"/>
  <c r="F152" i="4" s="1"/>
  <c r="I137" i="1"/>
  <c r="C136" i="4"/>
  <c r="F136" i="4" s="1"/>
  <c r="I129" i="1"/>
  <c r="C128" i="4"/>
  <c r="F128" i="4" s="1"/>
  <c r="I121" i="1"/>
  <c r="C120" i="4"/>
  <c r="F120" i="4" s="1"/>
  <c r="I113" i="1"/>
  <c r="C112" i="4"/>
  <c r="F112" i="4" s="1"/>
  <c r="I105" i="1"/>
  <c r="C104" i="4"/>
  <c r="F104" i="4" s="1"/>
  <c r="I97" i="1"/>
  <c r="C96" i="4"/>
  <c r="F96" i="4" s="1"/>
  <c r="I89" i="1"/>
  <c r="C88" i="4"/>
  <c r="F88" i="4" s="1"/>
  <c r="I81" i="1"/>
  <c r="C80" i="4"/>
  <c r="F80" i="4" s="1"/>
  <c r="I77" i="1"/>
  <c r="C76" i="4"/>
  <c r="F76" i="4" s="1"/>
  <c r="I69" i="1"/>
  <c r="C68" i="4"/>
  <c r="F68" i="4" s="1"/>
  <c r="I61" i="1"/>
  <c r="C60" i="4"/>
  <c r="F60" i="4" s="1"/>
  <c r="I52" i="1"/>
  <c r="C52" i="4"/>
  <c r="F52" i="4" s="1"/>
  <c r="I44" i="1"/>
  <c r="C44" i="4"/>
  <c r="F44" i="4" s="1"/>
  <c r="I36" i="1"/>
  <c r="C36" i="4"/>
  <c r="F36" i="4" s="1"/>
  <c r="I28" i="1"/>
  <c r="C28" i="4"/>
  <c r="F28" i="4" s="1"/>
  <c r="I20" i="1"/>
  <c r="C20" i="4"/>
  <c r="F20" i="4" s="1"/>
  <c r="I12" i="1"/>
  <c r="C12" i="4"/>
  <c r="F12" i="4" s="1"/>
  <c r="I4" i="1"/>
  <c r="C4" i="4"/>
  <c r="F4" i="4" s="1"/>
  <c r="I214" i="1"/>
  <c r="C213" i="4"/>
  <c r="F213" i="4" s="1"/>
  <c r="I210" i="1"/>
  <c r="C209" i="4"/>
  <c r="F209" i="4" s="1"/>
  <c r="I206" i="1"/>
  <c r="C205" i="4"/>
  <c r="F205" i="4" s="1"/>
  <c r="I202" i="1"/>
  <c r="C201" i="4"/>
  <c r="F201" i="4" s="1"/>
  <c r="F197" i="4"/>
  <c r="I194" i="1"/>
  <c r="C193" i="4"/>
  <c r="F193" i="4" s="1"/>
  <c r="I190" i="1"/>
  <c r="C189" i="4"/>
  <c r="F189" i="4" s="1"/>
  <c r="I186" i="1"/>
  <c r="C185" i="4"/>
  <c r="F185" i="4" s="1"/>
  <c r="I178" i="1"/>
  <c r="C177" i="4"/>
  <c r="F177" i="4" s="1"/>
  <c r="I174" i="1"/>
  <c r="C173" i="4"/>
  <c r="F173" i="4" s="1"/>
  <c r="I170" i="1"/>
  <c r="C169" i="4"/>
  <c r="F169" i="4" s="1"/>
  <c r="F165" i="4"/>
  <c r="I162" i="1"/>
  <c r="C161" i="4"/>
  <c r="F161" i="4" s="1"/>
  <c r="I158" i="1"/>
  <c r="C157" i="4"/>
  <c r="F157" i="4" s="1"/>
  <c r="I154" i="1"/>
  <c r="C153" i="4"/>
  <c r="F153" i="4" s="1"/>
  <c r="I150" i="1"/>
  <c r="C149" i="4"/>
  <c r="F149" i="4" s="1"/>
  <c r="I146" i="1"/>
  <c r="C145" i="4"/>
  <c r="F145" i="4" s="1"/>
  <c r="I142" i="1"/>
  <c r="C141" i="4"/>
  <c r="F141" i="4" s="1"/>
  <c r="I138" i="1"/>
  <c r="C137" i="4"/>
  <c r="F137" i="4" s="1"/>
  <c r="I134" i="1"/>
  <c r="C133" i="4"/>
  <c r="F133" i="4" s="1"/>
  <c r="I130" i="1"/>
  <c r="C129" i="4"/>
  <c r="F129" i="4" s="1"/>
  <c r="I126" i="1"/>
  <c r="C125" i="4"/>
  <c r="F125" i="4" s="1"/>
  <c r="I122" i="1"/>
  <c r="C121" i="4"/>
  <c r="F121" i="4" s="1"/>
  <c r="I118" i="1"/>
  <c r="C117" i="4"/>
  <c r="F117" i="4" s="1"/>
  <c r="I114" i="1"/>
  <c r="C113" i="4"/>
  <c r="F113" i="4" s="1"/>
  <c r="I110" i="1"/>
  <c r="C109" i="4"/>
  <c r="F109" i="4" s="1"/>
  <c r="I102" i="1"/>
  <c r="C101" i="4"/>
  <c r="F101" i="4" s="1"/>
  <c r="I98" i="1"/>
  <c r="C97" i="4"/>
  <c r="F97" i="4" s="1"/>
  <c r="I94" i="1"/>
  <c r="C93" i="4"/>
  <c r="F93" i="4" s="1"/>
  <c r="I90" i="1"/>
  <c r="C89" i="4"/>
  <c r="F89" i="4" s="1"/>
  <c r="I86" i="1"/>
  <c r="C85" i="4"/>
  <c r="F85" i="4" s="1"/>
  <c r="I82" i="1"/>
  <c r="C81" i="4"/>
  <c r="F81" i="4" s="1"/>
  <c r="I78" i="1"/>
  <c r="C77" i="4"/>
  <c r="F77" i="4" s="1"/>
  <c r="I70" i="1"/>
  <c r="C69" i="4"/>
  <c r="F69" i="4" s="1"/>
  <c r="I66" i="1"/>
  <c r="C65" i="4"/>
  <c r="F65" i="4" s="1"/>
  <c r="I62" i="1"/>
  <c r="C61" i="4"/>
  <c r="F61" i="4" s="1"/>
  <c r="I58" i="1"/>
  <c r="C57" i="4"/>
  <c r="F57" i="4" s="1"/>
  <c r="I53" i="1"/>
  <c r="C53" i="4"/>
  <c r="F53" i="4" s="1"/>
  <c r="I49" i="1"/>
  <c r="C49" i="4"/>
  <c r="F49" i="4" s="1"/>
  <c r="I45" i="1"/>
  <c r="C45" i="4"/>
  <c r="F45" i="4" s="1"/>
  <c r="I37" i="1"/>
  <c r="C72" i="4"/>
  <c r="F72" i="4" s="1"/>
  <c r="C37" i="4"/>
  <c r="F37" i="4" s="1"/>
  <c r="I33" i="1"/>
  <c r="C33" i="4"/>
  <c r="F33" i="4" s="1"/>
  <c r="I29" i="1"/>
  <c r="C29" i="4"/>
  <c r="F29" i="4" s="1"/>
  <c r="I25" i="1"/>
  <c r="C25" i="4"/>
  <c r="F25" i="4" s="1"/>
  <c r="I21" i="1"/>
  <c r="C21" i="4"/>
  <c r="F21" i="4" s="1"/>
  <c r="I17" i="1"/>
  <c r="C17" i="4"/>
  <c r="F17" i="4" s="1"/>
  <c r="I13" i="1"/>
  <c r="C13" i="4"/>
  <c r="F13" i="4" s="1"/>
  <c r="I5" i="1"/>
  <c r="C5" i="4"/>
  <c r="F5" i="4" s="1"/>
  <c r="H182" i="1"/>
  <c r="H181" i="1"/>
  <c r="H6" i="1"/>
  <c r="C6" i="4"/>
  <c r="F6" i="4" s="1"/>
  <c r="M10" i="7"/>
  <c r="K10" i="1" s="1"/>
  <c r="M18" i="7"/>
  <c r="K18" i="1" s="1"/>
  <c r="M26" i="7"/>
  <c r="K26" i="1" s="1"/>
  <c r="M34" i="7"/>
  <c r="K34" i="1" s="1"/>
  <c r="M42" i="7"/>
  <c r="K42" i="1" s="1"/>
  <c r="M66" i="7"/>
  <c r="K67" i="1" s="1"/>
  <c r="M82" i="7"/>
  <c r="K83" i="1" s="1"/>
  <c r="M90" i="7"/>
  <c r="K91" i="1" s="1"/>
  <c r="M106" i="7"/>
  <c r="K107" i="1" s="1"/>
  <c r="M114" i="7"/>
  <c r="K115" i="1" s="1"/>
  <c r="M122" i="7"/>
  <c r="K123" i="1" s="1"/>
  <c r="M130" i="7"/>
  <c r="K131" i="1" s="1"/>
  <c r="M138" i="7"/>
  <c r="M146" i="7"/>
  <c r="K147" i="1" s="1"/>
  <c r="M154" i="7"/>
  <c r="K155" i="1" s="1"/>
  <c r="M162" i="7"/>
  <c r="K163" i="1" s="1"/>
  <c r="M170" i="7"/>
  <c r="K171" i="1" s="1"/>
  <c r="M178" i="7"/>
  <c r="K179" i="1" s="1"/>
  <c r="M186" i="7"/>
  <c r="K187" i="1" s="1"/>
  <c r="M194" i="7"/>
  <c r="K195" i="1" s="1"/>
  <c r="M202" i="7"/>
  <c r="K203" i="1" s="1"/>
  <c r="M210" i="7"/>
  <c r="K211" i="1" s="1"/>
  <c r="I74" i="7"/>
  <c r="K75" i="1" s="1"/>
  <c r="I58" i="7"/>
  <c r="K59" i="1" s="1"/>
  <c r="K73" i="1"/>
  <c r="M6" i="7"/>
  <c r="K6" i="1" s="1"/>
  <c r="M14" i="7"/>
  <c r="K14" i="1" s="1"/>
  <c r="M22" i="7"/>
  <c r="K22" i="1" s="1"/>
  <c r="M30" i="7"/>
  <c r="K30" i="1" s="1"/>
  <c r="M38" i="7"/>
  <c r="K38" i="1" s="1"/>
  <c r="M46" i="7"/>
  <c r="K46" i="1" s="1"/>
  <c r="M98" i="7"/>
  <c r="K99" i="1" s="1"/>
  <c r="I126" i="7"/>
  <c r="K127" i="1" s="1"/>
  <c r="I121" i="7"/>
  <c r="K122" i="1" s="1"/>
  <c r="I110" i="7"/>
  <c r="K111" i="1" s="1"/>
  <c r="I105" i="7"/>
  <c r="K106" i="1" s="1"/>
  <c r="I94" i="7"/>
  <c r="K95" i="1" s="1"/>
  <c r="I89" i="7"/>
  <c r="K90" i="1" s="1"/>
  <c r="I78" i="7"/>
  <c r="K79" i="1" s="1"/>
  <c r="I73" i="7"/>
  <c r="K74" i="1" s="1"/>
  <c r="I62" i="7"/>
  <c r="K63" i="1" s="1"/>
  <c r="I57" i="7"/>
  <c r="K58" i="1" s="1"/>
  <c r="M3" i="7"/>
  <c r="K3" i="1" s="1"/>
  <c r="M7" i="7"/>
  <c r="K7" i="1" s="1"/>
  <c r="M11" i="7"/>
  <c r="K11" i="1" s="1"/>
  <c r="M15" i="7"/>
  <c r="M19" i="7"/>
  <c r="K19" i="1" s="1"/>
  <c r="M23" i="7"/>
  <c r="K23" i="1" s="1"/>
  <c r="M27" i="7"/>
  <c r="K27" i="1" s="1"/>
  <c r="M31" i="7"/>
  <c r="K31" i="1" s="1"/>
  <c r="M35" i="7"/>
  <c r="K35" i="1" s="1"/>
  <c r="M39" i="7"/>
  <c r="K39" i="1" s="1"/>
  <c r="M43" i="7"/>
  <c r="K43" i="1" s="1"/>
  <c r="I211" i="7"/>
  <c r="K212" i="1" s="1"/>
  <c r="I207" i="7"/>
  <c r="K208" i="1" s="1"/>
  <c r="I203" i="7"/>
  <c r="K204" i="1" s="1"/>
  <c r="I199" i="7"/>
  <c r="K200" i="1" s="1"/>
  <c r="I195" i="7"/>
  <c r="K196" i="1" s="1"/>
  <c r="I191" i="7"/>
  <c r="K192" i="1" s="1"/>
  <c r="I187" i="7"/>
  <c r="K188" i="1" s="1"/>
  <c r="I183" i="7"/>
  <c r="K184" i="1" s="1"/>
  <c r="I179" i="7"/>
  <c r="K180" i="1" s="1"/>
  <c r="I175" i="7"/>
  <c r="K176" i="1" s="1"/>
  <c r="I171" i="7"/>
  <c r="K172" i="1" s="1"/>
  <c r="I167" i="7"/>
  <c r="K168" i="1" s="1"/>
  <c r="I163" i="7"/>
  <c r="K164" i="1" s="1"/>
  <c r="I159" i="7"/>
  <c r="I155" i="7"/>
  <c r="K156" i="1" s="1"/>
  <c r="I151" i="7"/>
  <c r="K152" i="1" s="1"/>
  <c r="I147" i="7"/>
  <c r="K148" i="1" s="1"/>
  <c r="I143" i="7"/>
  <c r="K144" i="1" s="1"/>
  <c r="I139" i="7"/>
  <c r="K140" i="1" s="1"/>
  <c r="I135" i="7"/>
  <c r="K136" i="1" s="1"/>
  <c r="I125" i="7"/>
  <c r="K126" i="1" s="1"/>
  <c r="I109" i="7"/>
  <c r="K110" i="1" s="1"/>
  <c r="I93" i="7"/>
  <c r="K94" i="1" s="1"/>
  <c r="I77" i="7"/>
  <c r="K78" i="1" s="1"/>
  <c r="I61" i="7"/>
  <c r="K62" i="1" s="1"/>
  <c r="M54" i="7"/>
  <c r="K54" i="1" s="1"/>
  <c r="M70" i="7"/>
  <c r="K71" i="1" s="1"/>
  <c r="M86" i="7"/>
  <c r="K87" i="1" s="1"/>
  <c r="M102" i="7"/>
  <c r="K103" i="1" s="1"/>
  <c r="M118" i="7"/>
  <c r="K119" i="1" s="1"/>
  <c r="M134" i="7"/>
  <c r="K135" i="1" s="1"/>
  <c r="M142" i="7"/>
  <c r="K143" i="1" s="1"/>
  <c r="M150" i="7"/>
  <c r="K151" i="1" s="1"/>
  <c r="M158" i="7"/>
  <c r="M166" i="7"/>
  <c r="K167" i="1" s="1"/>
  <c r="M174" i="7"/>
  <c r="K175" i="1" s="1"/>
  <c r="M182" i="7"/>
  <c r="K183" i="1" s="1"/>
  <c r="M190" i="7"/>
  <c r="K191" i="1" s="1"/>
  <c r="M198" i="7"/>
  <c r="K199" i="1" s="1"/>
  <c r="M206" i="7"/>
  <c r="K207" i="1" s="1"/>
  <c r="K182" i="1"/>
  <c r="M131" i="7"/>
  <c r="I131" i="7"/>
  <c r="M127" i="7"/>
  <c r="I127" i="7"/>
  <c r="M123" i="7"/>
  <c r="I123" i="7"/>
  <c r="M119" i="7"/>
  <c r="I119" i="7"/>
  <c r="M115" i="7"/>
  <c r="I115" i="7"/>
  <c r="M111" i="7"/>
  <c r="I111" i="7"/>
  <c r="M107" i="7"/>
  <c r="I107" i="7"/>
  <c r="M103" i="7"/>
  <c r="I103" i="7"/>
  <c r="M99" i="7"/>
  <c r="I99" i="7"/>
  <c r="M95" i="7"/>
  <c r="I95" i="7"/>
  <c r="M91" i="7"/>
  <c r="I91" i="7"/>
  <c r="M87" i="7"/>
  <c r="I87" i="7"/>
  <c r="M83" i="7"/>
  <c r="K84" i="1" s="1"/>
  <c r="I83" i="7"/>
  <c r="M79" i="7"/>
  <c r="I79" i="7"/>
  <c r="M75" i="7"/>
  <c r="K76" i="1" s="1"/>
  <c r="I75" i="7"/>
  <c r="M71" i="7"/>
  <c r="I71" i="7"/>
  <c r="M67" i="7"/>
  <c r="K68" i="1" s="1"/>
  <c r="I67" i="7"/>
  <c r="M63" i="7"/>
  <c r="I63" i="7"/>
  <c r="M59" i="7"/>
  <c r="I59" i="7"/>
  <c r="M55" i="7"/>
  <c r="I55" i="7"/>
  <c r="M51" i="7"/>
  <c r="I51" i="7"/>
  <c r="M47" i="7"/>
  <c r="I47" i="7"/>
  <c r="I129" i="7"/>
  <c r="K130" i="1" s="1"/>
  <c r="I113" i="7"/>
  <c r="K114" i="1" s="1"/>
  <c r="I97" i="7"/>
  <c r="K98" i="1" s="1"/>
  <c r="I81" i="7"/>
  <c r="K82" i="1" s="1"/>
  <c r="I65" i="7"/>
  <c r="K66" i="1" s="1"/>
  <c r="J27" i="1"/>
  <c r="J212" i="1"/>
  <c r="J208" i="1"/>
  <c r="J204" i="1"/>
  <c r="J200" i="1"/>
  <c r="J192" i="1"/>
  <c r="J188" i="1"/>
  <c r="J184" i="1"/>
  <c r="J180" i="1"/>
  <c r="J176" i="1"/>
  <c r="J172" i="1"/>
  <c r="J168" i="1"/>
  <c r="J164" i="1"/>
  <c r="J160" i="1"/>
  <c r="J156" i="1"/>
  <c r="J152" i="1"/>
  <c r="J148" i="1"/>
  <c r="J144" i="1"/>
  <c r="J140" i="1"/>
  <c r="J136" i="1"/>
  <c r="J132" i="1"/>
  <c r="J124" i="1"/>
  <c r="J120" i="1"/>
  <c r="J116" i="1"/>
  <c r="J112" i="1"/>
  <c r="J108" i="1"/>
  <c r="J104" i="1"/>
  <c r="J100" i="1"/>
  <c r="J96" i="1"/>
  <c r="J92" i="1"/>
  <c r="J88" i="1"/>
  <c r="J84" i="1"/>
  <c r="J80" i="1"/>
  <c r="J76" i="1"/>
  <c r="J72" i="1"/>
  <c r="J68" i="1"/>
  <c r="J60" i="1"/>
  <c r="J55" i="1"/>
  <c r="J51" i="1"/>
  <c r="J47" i="1"/>
  <c r="J43" i="1"/>
  <c r="J39" i="1"/>
  <c r="J35" i="1"/>
  <c r="J31" i="1"/>
  <c r="J30" i="1"/>
  <c r="J26" i="1"/>
  <c r="J211" i="1"/>
  <c r="J207" i="1"/>
  <c r="J203" i="1"/>
  <c r="J199" i="1"/>
  <c r="J195" i="1"/>
  <c r="J191" i="1"/>
  <c r="J187" i="1"/>
  <c r="J183" i="1"/>
  <c r="J179" i="1"/>
  <c r="J175" i="1"/>
  <c r="J171" i="1"/>
  <c r="J163" i="1"/>
  <c r="J159" i="1"/>
  <c r="J155" i="1"/>
  <c r="J151" i="1"/>
  <c r="J147" i="1"/>
  <c r="J143" i="1"/>
  <c r="J139" i="1"/>
  <c r="J135" i="1"/>
  <c r="J131" i="1"/>
  <c r="J123" i="1"/>
  <c r="J119" i="1"/>
  <c r="J115" i="1"/>
  <c r="J111" i="1"/>
  <c r="J107" i="1"/>
  <c r="J103" i="1"/>
  <c r="J99" i="1"/>
  <c r="J95" i="1"/>
  <c r="J91" i="1"/>
  <c r="J87" i="1"/>
  <c r="J83" i="1"/>
  <c r="J79" i="1"/>
  <c r="J75" i="1"/>
  <c r="J71" i="1"/>
  <c r="J67" i="1"/>
  <c r="J59" i="1"/>
  <c r="J54" i="1"/>
  <c r="J50" i="1"/>
  <c r="J46" i="1"/>
  <c r="J42" i="1"/>
  <c r="J38" i="1"/>
  <c r="J34" i="1"/>
  <c r="I182" i="1"/>
  <c r="I181" i="1"/>
  <c r="I145" i="1"/>
  <c r="I24" i="1"/>
  <c r="H73" i="1"/>
  <c r="H160" i="1"/>
  <c r="H145" i="1"/>
  <c r="H198" i="1"/>
  <c r="J20" i="1"/>
  <c r="J193" i="1"/>
  <c r="J161" i="1"/>
  <c r="J113" i="1"/>
  <c r="J97" i="1"/>
  <c r="J81" i="1"/>
  <c r="J61" i="1"/>
  <c r="J28" i="1"/>
  <c r="J8" i="1"/>
  <c r="J213" i="1"/>
  <c r="J157" i="1"/>
  <c r="J141" i="1"/>
  <c r="J125" i="1"/>
  <c r="J109" i="1"/>
  <c r="J93" i="1"/>
  <c r="J77" i="1"/>
  <c r="J13" i="1"/>
  <c r="J9" i="1"/>
  <c r="J21" i="1"/>
  <c r="J182" i="1"/>
  <c r="J24" i="1"/>
  <c r="J209" i="1"/>
  <c r="J181" i="1"/>
  <c r="J44" i="1"/>
  <c r="J16" i="1"/>
  <c r="J205" i="1"/>
  <c r="J201" i="1"/>
  <c r="J189" i="1"/>
  <c r="J185" i="1"/>
  <c r="J173" i="1"/>
  <c r="J169" i="1"/>
  <c r="J165" i="1"/>
  <c r="J153" i="1"/>
  <c r="J149" i="1"/>
  <c r="J137" i="1"/>
  <c r="J133" i="1"/>
  <c r="J121" i="1"/>
  <c r="J117" i="1"/>
  <c r="J105" i="1"/>
  <c r="J101" i="1"/>
  <c r="J89" i="1"/>
  <c r="J85" i="1"/>
  <c r="J69" i="1"/>
  <c r="J65" i="1"/>
  <c r="J57" i="1"/>
  <c r="J52" i="1"/>
  <c r="J48" i="1"/>
  <c r="J40" i="1"/>
  <c r="J36" i="1"/>
  <c r="J32" i="1"/>
  <c r="I198" i="1"/>
  <c r="I196" i="1"/>
  <c r="I197" i="1"/>
  <c r="I166" i="1"/>
  <c r="I167" i="1"/>
  <c r="I63" i="1"/>
  <c r="I64" i="1"/>
  <c r="I128" i="1"/>
  <c r="H197" i="1"/>
  <c r="H196" i="1"/>
  <c r="H128" i="1"/>
  <c r="H64" i="1"/>
  <c r="H167" i="1"/>
  <c r="J196" i="1"/>
  <c r="J198" i="1"/>
  <c r="J197" i="1"/>
  <c r="J127" i="1"/>
  <c r="J128" i="1"/>
  <c r="J63" i="1"/>
  <c r="J64" i="1"/>
  <c r="E2" i="1" l="1"/>
  <c r="M73" i="1"/>
  <c r="E73" i="1"/>
  <c r="M181" i="1"/>
  <c r="E181" i="1"/>
  <c r="M24" i="1"/>
  <c r="E24" i="1"/>
  <c r="M180" i="1"/>
  <c r="E180" i="1"/>
  <c r="E15" i="1"/>
  <c r="M37" i="1"/>
  <c r="E37" i="1"/>
  <c r="M182" i="1"/>
  <c r="E182" i="1"/>
  <c r="K72" i="1"/>
  <c r="K88" i="1"/>
  <c r="K47" i="1"/>
  <c r="K80" i="1"/>
  <c r="K181" i="1"/>
  <c r="K108" i="1"/>
  <c r="K112" i="1"/>
  <c r="K120" i="1"/>
  <c r="K128" i="1"/>
  <c r="K124" i="1"/>
  <c r="K132" i="1"/>
  <c r="K116" i="1"/>
  <c r="K92" i="1"/>
  <c r="K96" i="1"/>
  <c r="K104" i="1"/>
  <c r="K100" i="1"/>
  <c r="K64" i="1"/>
  <c r="K60" i="1"/>
  <c r="K55" i="1"/>
  <c r="K51" i="1"/>
  <c r="K159" i="1"/>
  <c r="K160" i="1"/>
  <c r="K15" i="1"/>
  <c r="K24" i="1"/>
  <c r="K139" i="1"/>
  <c r="K145" i="1"/>
</calcChain>
</file>

<file path=xl/sharedStrings.xml><?xml version="1.0" encoding="utf-8"?>
<sst xmlns="http://schemas.openxmlformats.org/spreadsheetml/2006/main" count="10214" uniqueCount="1694">
  <si>
    <t>No</t>
  </si>
  <si>
    <t>Nama Cust</t>
  </si>
  <si>
    <t>PT. Yolita Plasinto Pratama ( Ida)</t>
  </si>
  <si>
    <t>Hendra Dwi Kurniawan</t>
  </si>
  <si>
    <t>CV Jawa Indah (Ibu Yuli), Samarinda, Kal-Tim</t>
  </si>
  <si>
    <t xml:space="preserve"> Iskandar</t>
  </si>
  <si>
    <t xml:space="preserve"> Frans Andreas</t>
  </si>
  <si>
    <t xml:space="preserve"> Fahmuddin Edy Hadi, Yogjakarta</t>
  </si>
  <si>
    <t>PT. Bertie Sukses Makmur (Andi)</t>
  </si>
  <si>
    <t>CV Pije Peter Cheryl (Andi)</t>
  </si>
  <si>
    <t>Hasan Dali</t>
  </si>
  <si>
    <t xml:space="preserve"> Herry Gunawan</t>
  </si>
  <si>
    <t xml:space="preserve"> Mirza Budiman Diran</t>
  </si>
  <si>
    <t xml:space="preserve"> Irawan Susanto</t>
  </si>
  <si>
    <t xml:space="preserve"> Esther Indrawati</t>
  </si>
  <si>
    <t xml:space="preserve"> Suryani</t>
  </si>
  <si>
    <t xml:space="preserve"> Jonatan Christie</t>
  </si>
  <si>
    <t>PT. Dwipar Loka Ayu (Aswin)</t>
  </si>
  <si>
    <t>Dr. Ketut Ananda W. Sp. OG (Klinik Ananda, Sumba)</t>
  </si>
  <si>
    <t>Drg. Melanie Hendriaty</t>
  </si>
  <si>
    <t>Ir. Pudjo Prihadi Santoso</t>
  </si>
  <si>
    <t xml:space="preserve"> Jenny Lie</t>
  </si>
  <si>
    <t xml:space="preserve"> Syamsuardi Alpat (Sudirman)</t>
  </si>
  <si>
    <t>Ir. H. Awan Hermawan Purwadinata MT, Bandung</t>
  </si>
  <si>
    <t xml:space="preserve"> Thakurdas Pursani W</t>
  </si>
  <si>
    <t xml:space="preserve"> Farida Anwari</t>
  </si>
  <si>
    <t xml:space="preserve"> Kusnaeny Mardjoeki (Dini), Surabaya</t>
  </si>
  <si>
    <t xml:space="preserve"> Doddi Yoshida</t>
  </si>
  <si>
    <t xml:space="preserve"> Junly Kodradjaya, Surabaya</t>
  </si>
  <si>
    <t>PT. Dwi Tunggal Putra (Michael)</t>
  </si>
  <si>
    <t>PT. Multilabindo Wahana (Hidayat)</t>
  </si>
  <si>
    <t xml:space="preserve"> Felix Claudius Djimin (Greysia/ PT Kreasi Bintang Anugerah)</t>
  </si>
  <si>
    <t>PT. Barnaby Kontruksi Sejahtera (Hilda)</t>
  </si>
  <si>
    <t xml:space="preserve"> Andy Indrajaya, ST</t>
  </si>
  <si>
    <t xml:space="preserve"> Jico Maradona</t>
  </si>
  <si>
    <t>PT. PT Duta Raya Cipta (Gulshan)</t>
  </si>
  <si>
    <t>PT. Esa Pratama (Hafzah)</t>
  </si>
  <si>
    <t xml:space="preserve"> Monica Irmawati Koswara</t>
  </si>
  <si>
    <t xml:space="preserve"> Ary Indrajanto</t>
  </si>
  <si>
    <t>Yayasan Perkembangan Anak Indonesia</t>
  </si>
  <si>
    <t xml:space="preserve"> Suyendi</t>
  </si>
  <si>
    <t xml:space="preserve"> Natalina Surjani .S</t>
  </si>
  <si>
    <t>PT. Layton Enter Prise (Alicia)</t>
  </si>
  <si>
    <t>PT. Mitra Niaga Nusatama (Jelly)</t>
  </si>
  <si>
    <t>Yayasan Karya Kasih Mandiri (Sigit)</t>
  </si>
  <si>
    <t xml:space="preserve"> M. Dodiek Tas'an Wartono</t>
  </si>
  <si>
    <t xml:space="preserve"> Silvi Liswanda</t>
  </si>
  <si>
    <t xml:space="preserve"> Johan Suhalim</t>
  </si>
  <si>
    <t xml:space="preserve"> Sukirman Sutrisno</t>
  </si>
  <si>
    <t xml:space="preserve"> Abednego Wibowo (Hartono)</t>
  </si>
  <si>
    <t xml:space="preserve"> Peter Douglas Simpson</t>
  </si>
  <si>
    <t>PT. Alfa Citra Karyatama (Dr. Hanifah)</t>
  </si>
  <si>
    <t xml:space="preserve"> Handoko Sutjitro Surabaya</t>
  </si>
  <si>
    <t xml:space="preserve"> Jessica Ronaldy Tjahja (Sumitra)</t>
  </si>
  <si>
    <t xml:space="preserve"> Linda Tjahja (Rivai)</t>
  </si>
  <si>
    <t xml:space="preserve"> Leonard Wilson Lay</t>
  </si>
  <si>
    <t xml:space="preserve"> Edward</t>
  </si>
  <si>
    <t>PT. Semesta Andesit Perkasa (Budi) - PT. Vicindo Jaya Makmur</t>
  </si>
  <si>
    <t xml:space="preserve"> Aisyah Zaelani (Nur)</t>
  </si>
  <si>
    <t>Ir. Tjahjono Tjandra</t>
  </si>
  <si>
    <t xml:space="preserve"> Djohan Surya Adinata</t>
  </si>
  <si>
    <t xml:space="preserve"> Taruna Wirano Lukman (Rully)</t>
  </si>
  <si>
    <t xml:space="preserve"> Linda Irawati, Surabaya</t>
  </si>
  <si>
    <t xml:space="preserve"> Sugiono</t>
  </si>
  <si>
    <t xml:space="preserve"> Budi Surjono - Surabaya</t>
  </si>
  <si>
    <t>PT. Hanny Rancangbangun Abadi</t>
  </si>
  <si>
    <t xml:space="preserve"> Anjar Reksa Permana (Ghani)</t>
  </si>
  <si>
    <t>PT. Comfort Aire Aneka Teknik (Edy - Bintaro)</t>
  </si>
  <si>
    <t xml:space="preserve"> Lucas Tetardy</t>
  </si>
  <si>
    <t>Ir. Hardy Tanjaya</t>
  </si>
  <si>
    <t xml:space="preserve"> Machzum Baisa</t>
  </si>
  <si>
    <t xml:space="preserve"> Sofian Atmadja Widjaja</t>
  </si>
  <si>
    <t xml:space="preserve"> Riswandi (Heri Riswandi)-Kalimantan Selatan</t>
  </si>
  <si>
    <t xml:space="preserve"> Titik Lestari, Bali</t>
  </si>
  <si>
    <t xml:space="preserve"> Finiantri Sari MSC (Rieke)</t>
  </si>
  <si>
    <t xml:space="preserve"> Yudi Prawira</t>
  </si>
  <si>
    <t xml:space="preserve"> Suwanlia</t>
  </si>
  <si>
    <t xml:space="preserve"> Le Agus Felix</t>
  </si>
  <si>
    <t xml:space="preserve"> Johannes Dhartanto Wibowo (Erman)</t>
  </si>
  <si>
    <t xml:space="preserve"> Susanti Lukman</t>
  </si>
  <si>
    <t xml:space="preserve"> Rajulur Rakhman</t>
  </si>
  <si>
    <t>PT. Jaya Konstruksi Manggala Pratama Tbk,</t>
  </si>
  <si>
    <t>PT. Wahana Sejahtera Langgeng Makmur ( Howard)</t>
  </si>
  <si>
    <t>PT Sumberdaya Indonesia (Andi Yusuf - Mangga)</t>
  </si>
  <si>
    <t xml:space="preserve"> Buyung, Surabaya</t>
  </si>
  <si>
    <t xml:space="preserve"> Lesly Irvan</t>
  </si>
  <si>
    <t>PT. Borlindo Mandiri Jaya (Hermon)</t>
  </si>
  <si>
    <t xml:space="preserve"> Winarizal</t>
  </si>
  <si>
    <t>PT. Citra Sembilansatu ( Sahata Saolan Sirait)</t>
  </si>
  <si>
    <t xml:space="preserve"> Ronny Cahyono (PT Usaha Logistik), Surabaya</t>
  </si>
  <si>
    <t>PT. Anugerah Aneka Industri (Surja)</t>
  </si>
  <si>
    <t xml:space="preserve"> Heri Hariawan</t>
  </si>
  <si>
    <t>PT. Sri Buana Sumber Lestari ( Victor)-Surabaya</t>
  </si>
  <si>
    <t>PT. Samudra Wiwaca Kusuma ( Indah)</t>
  </si>
  <si>
    <t>Maikel Effendi - Ivanna</t>
  </si>
  <si>
    <t xml:space="preserve"> Hendra Surjaputra</t>
  </si>
  <si>
    <t>Gereja bethany Indonesia (Davy Malada), Gresik</t>
  </si>
  <si>
    <t>Apartemen Senayan Residence</t>
  </si>
  <si>
    <t xml:space="preserve"> Pramudya Winarta (PT Ritme Indah)</t>
  </si>
  <si>
    <t xml:space="preserve"> Harry Yusuf</t>
  </si>
  <si>
    <t xml:space="preserve"> Alexander Tandra</t>
  </si>
  <si>
    <t>Junial</t>
  </si>
  <si>
    <t>PT. Adimitra prima Lestari (pak Wily)</t>
  </si>
  <si>
    <t>PT. BUMI PURNAMA RAYA (Nanang)</t>
  </si>
  <si>
    <t>PT. Harimas Tunggal Perkasa (Haryanto)</t>
  </si>
  <si>
    <t>PT. Golden Bird Metro (Kresna)</t>
  </si>
  <si>
    <t>CV. Crown Hotel-Kalimantan Utara</t>
  </si>
  <si>
    <t xml:space="preserve"> Yanti Susanti</t>
  </si>
  <si>
    <t>PT. Mamoru (Wong Sin Yung)</t>
  </si>
  <si>
    <t>Arianto Haris- Medan</t>
  </si>
  <si>
    <t>PT. Gemilang Abadi Santoso ( Unit1 )</t>
  </si>
  <si>
    <t>PT. Gemilang Abadi Santoso ( Unit2 )</t>
  </si>
  <si>
    <t>Budi Purnomo (Ibu Lolita)</t>
  </si>
  <si>
    <t>Mr. Hengky Kasim</t>
  </si>
  <si>
    <t>Mr. Listianingdiah Linggo (Inge)</t>
  </si>
  <si>
    <t>Mr. Sunata Tjiterosampurno</t>
  </si>
  <si>
    <t>Mr. Daniel Halim</t>
  </si>
  <si>
    <t>PT. Global Visi Bersama (Ronald)</t>
  </si>
  <si>
    <t>Andre Farnandes-MAXIO-Samarinda</t>
  </si>
  <si>
    <t>Hendra Hermanto, Surabaya</t>
  </si>
  <si>
    <t>Sasunto</t>
  </si>
  <si>
    <t>Takdir Mattanete, Surabaya</t>
  </si>
  <si>
    <t>Wahyu Tri Rahmanto</t>
  </si>
  <si>
    <t>Demo Lift</t>
  </si>
  <si>
    <t>Syaiful Arifin (Abrian)/ Arnold</t>
  </si>
  <si>
    <t>Bambang Triambodo - Makassar</t>
  </si>
  <si>
    <t>Paulo Roberto Tio</t>
  </si>
  <si>
    <t>Tedy Irawan (Yanto)Palembang</t>
  </si>
  <si>
    <t>Fonny Makassar</t>
  </si>
  <si>
    <t>PT Griya Selaras Pratama -Pondok Pinang-Klinik Rawamangun</t>
  </si>
  <si>
    <t>PT Sambas Mineral Mining</t>
  </si>
  <si>
    <t>Dartomo M Sidik - Depok</t>
  </si>
  <si>
    <t>PT Handal Selaras Maternal-Green Lake</t>
  </si>
  <si>
    <t>CV Rahmie Group, Gresik</t>
  </si>
  <si>
    <t>PT. Sari Mas Permai, Wieke , Surabaya</t>
  </si>
  <si>
    <t>Herman Mintardja</t>
  </si>
  <si>
    <t>Lie Ly Tedjokoesoemo, Surabaya</t>
  </si>
  <si>
    <t>Vonny- Loranty Noegroho, Yogjakarta</t>
  </si>
  <si>
    <t>PT Fajar Mitra Krida Abadi - Pak Amir</t>
  </si>
  <si>
    <t>Suyoto- Kebumen</t>
  </si>
  <si>
    <t>Mohammad Aditya Putra-Eddy Sutrisno</t>
  </si>
  <si>
    <t>John Marciano- Bali</t>
  </si>
  <si>
    <t>Yayasan Onkologi Anak Indonesia</t>
  </si>
  <si>
    <t>Gunawan, Jambi</t>
  </si>
  <si>
    <t>Christine /Michelle / Ong Kim Lian</t>
  </si>
  <si>
    <t>PT Surya Semesta Permai</t>
  </si>
  <si>
    <t>Then Kon Pin</t>
  </si>
  <si>
    <t xml:space="preserve"> Ahjiannor, Bupati Kal Teng , Barito</t>
  </si>
  <si>
    <t>Bintang Jupiter</t>
  </si>
  <si>
    <t>Drs Nurtjahjo Walujo Wibowo</t>
  </si>
  <si>
    <t>PT. Semangat Mekar Jaya Mandiri-Felix Semarang</t>
  </si>
  <si>
    <t>Ida Yulidina-Paso</t>
  </si>
  <si>
    <t>Liza Anita Sumarsono,Sonnie Pondok Kopi</t>
  </si>
  <si>
    <t>PT. Bintang Surya Sejati Sukses/ Budi</t>
  </si>
  <si>
    <t>Perseroan Komanditer Primatio (CV)</t>
  </si>
  <si>
    <t>Elly Lestari - Mangga Besar</t>
  </si>
  <si>
    <t>Elly Lestari -Puncak - 1280x1335-Basement</t>
  </si>
  <si>
    <t>Elly Lestari - Puncak-1430 x 1335- Meja</t>
  </si>
  <si>
    <t>Ronny Abril</t>
  </si>
  <si>
    <t>PT Andara Buana Mandiri (NOVIAN)</t>
  </si>
  <si>
    <t>Intan Cristina Chen</t>
  </si>
  <si>
    <t>Dinas Pekerjaan Umum dan Penataan Ruang Kota Banjarbaru</t>
  </si>
  <si>
    <t>PT Taktik Promo Sukses</t>
  </si>
  <si>
    <t>PT. Danatama Makmur Sekuritas</t>
  </si>
  <si>
    <t>PT Batara Surya Semesta</t>
  </si>
  <si>
    <t>PT. Trika Citriine Abiyasa (Bangun Raharja)</t>
  </si>
  <si>
    <t>Sunarno</t>
  </si>
  <si>
    <t>RICKARDO MANGATAS</t>
  </si>
  <si>
    <t>Sudirman (Alex Kemayoran)</t>
  </si>
  <si>
    <t>Bong Lie Fung (Ketsidy)</t>
  </si>
  <si>
    <t>PT Rukun Sahabat Senior</t>
  </si>
  <si>
    <t>Djoko Dermanto</t>
  </si>
  <si>
    <t>Paulus SIA</t>
  </si>
  <si>
    <t>TH H Handayani Kiroyan</t>
  </si>
  <si>
    <t>Sugeng Mulyono</t>
  </si>
  <si>
    <t>Julio - Yonanda Putra</t>
  </si>
  <si>
    <t>PT Duta Sarana Perkasa-Philips</t>
  </si>
  <si>
    <t>Christian Bisara</t>
  </si>
  <si>
    <t>Dian Putri</t>
  </si>
  <si>
    <t>Mulya Darma Wangsa</t>
  </si>
  <si>
    <t>PT. Sumbersolusindo Hitech (Bpk Hardi)</t>
  </si>
  <si>
    <t>Eddy Sutomo Santoko PT. CHARMINDO MITRA RAHARJA</t>
  </si>
  <si>
    <t>Yessi ( PT. Bangun Konstruksi Cemerlang)</t>
  </si>
  <si>
    <t>Judi Setiawan</t>
  </si>
  <si>
    <t>PT Octa Utama (Ifan)</t>
  </si>
  <si>
    <t>Dr. Ham Sigit Budiman</t>
  </si>
  <si>
    <t>Christopher Burke - Bali</t>
  </si>
  <si>
    <t>DODANI HASSOMAL KU (Hashu)</t>
  </si>
  <si>
    <t>ALDO SEBASTIAN SUH</t>
  </si>
  <si>
    <t>PT. Nabil Putra Jabal (Budhe-Panglima Polim)</t>
  </si>
  <si>
    <t>PT. Maju Makmur Utomo Sunter</t>
  </si>
  <si>
    <t>PT Implementasi Teknologi Indonesia (Arief Sofian)</t>
  </si>
  <si>
    <t>PT Primaperkasa Intiswadaya (Prayogo)</t>
  </si>
  <si>
    <t>Andri Pekanbaru</t>
  </si>
  <si>
    <t>PT Dwibina Prima Patra</t>
  </si>
  <si>
    <t>Bpk Gianto Trisno</t>
  </si>
  <si>
    <t>PT Bumi Bangun Perkasa - Budi BGV</t>
  </si>
  <si>
    <t>Prof Dr. Maya Devita Lokanata Sp D.V.E</t>
  </si>
  <si>
    <t>Monica Pranata</t>
  </si>
  <si>
    <t>Norman S Joesoef (Brawijaya)</t>
  </si>
  <si>
    <t>PT Kuala Pangan (Arno)</t>
  </si>
  <si>
    <t>PT. First Marine Seafoods</t>
  </si>
  <si>
    <t>PT. Binayasa Putrabatara</t>
  </si>
  <si>
    <t>Katherina Sulastianus (Renata)</t>
  </si>
  <si>
    <t>PT Semesta Selaras</t>
  </si>
  <si>
    <t>Rita Sriyanti - Bandung</t>
  </si>
  <si>
    <t>Retna Bintarni Oen</t>
  </si>
  <si>
    <t>PVE</t>
  </si>
  <si>
    <t>21/0227</t>
  </si>
  <si>
    <t>21/0258</t>
  </si>
  <si>
    <t>21/0257</t>
  </si>
  <si>
    <t>21/0374</t>
  </si>
  <si>
    <t>21/0618</t>
  </si>
  <si>
    <t>21/0375</t>
  </si>
  <si>
    <t>21/0455</t>
  </si>
  <si>
    <t>21/0879</t>
  </si>
  <si>
    <t>21/0538</t>
  </si>
  <si>
    <t>21/0534</t>
  </si>
  <si>
    <t>21/0753</t>
  </si>
  <si>
    <t>21/0542</t>
  </si>
  <si>
    <t>22/355</t>
  </si>
  <si>
    <t>21/0973</t>
  </si>
  <si>
    <t>21/0599</t>
  </si>
  <si>
    <t>21/0621</t>
  </si>
  <si>
    <t>21/0570</t>
  </si>
  <si>
    <t>21/0676</t>
  </si>
  <si>
    <t>21/0638</t>
  </si>
  <si>
    <t>21/0745</t>
  </si>
  <si>
    <t>21/0670</t>
  </si>
  <si>
    <t>21/0740</t>
  </si>
  <si>
    <t>21/0885</t>
  </si>
  <si>
    <t>22/0078</t>
  </si>
  <si>
    <t>21/0669</t>
  </si>
  <si>
    <t>21/0886</t>
  </si>
  <si>
    <t>21/0962</t>
  </si>
  <si>
    <t>21/0877</t>
  </si>
  <si>
    <t>21/0743</t>
  </si>
  <si>
    <t>21/0791</t>
  </si>
  <si>
    <t>21/0812</t>
  </si>
  <si>
    <t>21/0857</t>
  </si>
  <si>
    <t>21/0858</t>
  </si>
  <si>
    <t>21/0878</t>
  </si>
  <si>
    <t>21/0903</t>
  </si>
  <si>
    <t>2022/479</t>
  </si>
  <si>
    <t>21/0916</t>
  </si>
  <si>
    <t>2022/486</t>
  </si>
  <si>
    <t>21/0922</t>
  </si>
  <si>
    <t>21/0901</t>
  </si>
  <si>
    <t>21/0994</t>
  </si>
  <si>
    <t>2022/857</t>
  </si>
  <si>
    <t>21/1135</t>
  </si>
  <si>
    <t>2022/480</t>
  </si>
  <si>
    <t>21/1081</t>
  </si>
  <si>
    <t>22/856</t>
  </si>
  <si>
    <t>2022/493</t>
  </si>
  <si>
    <t>21/1311</t>
  </si>
  <si>
    <t>21/1067</t>
  </si>
  <si>
    <t>21/1068</t>
  </si>
  <si>
    <t>22/107</t>
  </si>
  <si>
    <t>21/1066</t>
  </si>
  <si>
    <t>21/1146</t>
  </si>
  <si>
    <t>21/1072</t>
  </si>
  <si>
    <t>21/1147</t>
  </si>
  <si>
    <t>21/1120</t>
  </si>
  <si>
    <t>21/1289</t>
  </si>
  <si>
    <t>2022/961</t>
  </si>
  <si>
    <t>21/1219</t>
  </si>
  <si>
    <t>230169</t>
  </si>
  <si>
    <t>21/1270</t>
  </si>
  <si>
    <t>2022/1085</t>
  </si>
  <si>
    <t>21/1208</t>
  </si>
  <si>
    <t>21/1313</t>
  </si>
  <si>
    <t>2022/504</t>
  </si>
  <si>
    <t>21/1226</t>
  </si>
  <si>
    <t>21/1271</t>
  </si>
  <si>
    <t>2022/1328</t>
  </si>
  <si>
    <t>22/0008</t>
  </si>
  <si>
    <t xml:space="preserve">22/385 </t>
  </si>
  <si>
    <t>2022/473</t>
  </si>
  <si>
    <t>2022/115</t>
  </si>
  <si>
    <t>2023/0447</t>
  </si>
  <si>
    <t>22/0071</t>
  </si>
  <si>
    <t>22/97</t>
  </si>
  <si>
    <t>22/0074</t>
  </si>
  <si>
    <t>2022/506</t>
  </si>
  <si>
    <t>22/243</t>
  </si>
  <si>
    <t>2023/0176</t>
  </si>
  <si>
    <t>2022/322</t>
  </si>
  <si>
    <t>2022/571</t>
  </si>
  <si>
    <t>2022/214</t>
  </si>
  <si>
    <t xml:space="preserve">22/322 </t>
  </si>
  <si>
    <t>2022/712</t>
  </si>
  <si>
    <t>2022/806</t>
  </si>
  <si>
    <t>2022/1046</t>
  </si>
  <si>
    <t>2022/598</t>
  </si>
  <si>
    <t>2022/387</t>
  </si>
  <si>
    <t>2022/558</t>
  </si>
  <si>
    <t>2022/592</t>
  </si>
  <si>
    <t>2022/591</t>
  </si>
  <si>
    <t>2022/605</t>
  </si>
  <si>
    <t>2022/689</t>
  </si>
  <si>
    <t>2022/599</t>
  </si>
  <si>
    <t>2022/1128</t>
  </si>
  <si>
    <t>2022/1223</t>
  </si>
  <si>
    <t>2022/764</t>
  </si>
  <si>
    <t>2022/749</t>
  </si>
  <si>
    <t>2022/822</t>
  </si>
  <si>
    <t>2022/759</t>
  </si>
  <si>
    <t>2022/1053</t>
  </si>
  <si>
    <t>2022/1108</t>
  </si>
  <si>
    <t>2022/973</t>
  </si>
  <si>
    <t>2022/974</t>
  </si>
  <si>
    <t>2022/1127</t>
  </si>
  <si>
    <t>2022/957</t>
  </si>
  <si>
    <t>2022/1126</t>
  </si>
  <si>
    <t>2022/945</t>
  </si>
  <si>
    <t>2022/946</t>
  </si>
  <si>
    <t>2022/1103</t>
  </si>
  <si>
    <t>2022/1121</t>
  </si>
  <si>
    <t>2022/1327</t>
  </si>
  <si>
    <t>2022/1120</t>
  </si>
  <si>
    <t>2022/1129</t>
  </si>
  <si>
    <t>2022/972</t>
  </si>
  <si>
    <t>2022/1080</t>
  </si>
  <si>
    <t>2022/1172</t>
  </si>
  <si>
    <t>2022/1230</t>
  </si>
  <si>
    <t>2023/0392</t>
  </si>
  <si>
    <t>2022/1171</t>
  </si>
  <si>
    <t>2022/1225</t>
  </si>
  <si>
    <t>2022/1234</t>
  </si>
  <si>
    <t>2023/065</t>
  </si>
  <si>
    <t>2023/1</t>
  </si>
  <si>
    <t>2022/1314</t>
  </si>
  <si>
    <t>2022/1334</t>
  </si>
  <si>
    <t>2022/1267</t>
  </si>
  <si>
    <t>2022/137</t>
  </si>
  <si>
    <t>2022/1318</t>
  </si>
  <si>
    <t>2023/16</t>
  </si>
  <si>
    <t>2023/14</t>
  </si>
  <si>
    <t>2300/15</t>
  </si>
  <si>
    <t>2023/39</t>
  </si>
  <si>
    <t>Stairlift</t>
  </si>
  <si>
    <t>2023/282</t>
  </si>
  <si>
    <t>2023/0430</t>
  </si>
  <si>
    <t>2023/523</t>
  </si>
  <si>
    <t>Kanan</t>
  </si>
  <si>
    <t>SW104452</t>
  </si>
  <si>
    <t>Kiri</t>
  </si>
  <si>
    <t>Solo</t>
  </si>
  <si>
    <t>SW105441</t>
  </si>
  <si>
    <t>SW105334</t>
  </si>
  <si>
    <t xml:space="preserve">SW105607 </t>
  </si>
  <si>
    <t>SW105905</t>
  </si>
  <si>
    <t>SW106057</t>
  </si>
  <si>
    <t>SW105827</t>
  </si>
  <si>
    <t>2023/868</t>
  </si>
  <si>
    <t>SW105648</t>
  </si>
  <si>
    <t>SW106660</t>
  </si>
  <si>
    <t>SW106708</t>
  </si>
  <si>
    <t>Code Lift</t>
  </si>
  <si>
    <t>Jenis Lift</t>
  </si>
  <si>
    <t>Pve 37 midio</t>
  </si>
  <si>
    <t>Domo Flex</t>
  </si>
  <si>
    <t>Indomo Shaft</t>
  </si>
  <si>
    <t>Indomo Cabin</t>
  </si>
  <si>
    <t>Galactic</t>
  </si>
  <si>
    <t>Pve 30 minio</t>
  </si>
  <si>
    <t>Klasik</t>
  </si>
  <si>
    <t>Domo Flex 2</t>
  </si>
  <si>
    <t>Stairfit</t>
  </si>
  <si>
    <t>Eco Flex</t>
  </si>
  <si>
    <t>Indomo</t>
  </si>
  <si>
    <t>DomoFlex 2</t>
  </si>
  <si>
    <t>Domoflex 2</t>
  </si>
  <si>
    <t>Domoflex2- felx 3 sisi kaca</t>
  </si>
  <si>
    <t>Indomo - Cabin Only</t>
  </si>
  <si>
    <t>DomoFlex 2 - Indoor</t>
  </si>
  <si>
    <t>Galactic -Indoor</t>
  </si>
  <si>
    <t>DomoFlex 2 - Flex Indoor</t>
  </si>
  <si>
    <t>DOmoFlex 2 - Indoor</t>
  </si>
  <si>
    <t>DomoFlex Outdoor</t>
  </si>
  <si>
    <t>PVE Maxio</t>
  </si>
  <si>
    <t>Domoflex2 - Ecoflex</t>
  </si>
  <si>
    <t>Icon Lift</t>
  </si>
  <si>
    <t xml:space="preserve">DomoFlex2 </t>
  </si>
  <si>
    <t>PEV</t>
  </si>
  <si>
    <t>DomoFlex2</t>
  </si>
  <si>
    <t xml:space="preserve">Indomo Cabin </t>
  </si>
  <si>
    <t>Swift Lite</t>
  </si>
  <si>
    <t>Swift Pro</t>
  </si>
  <si>
    <t>Tgl BAST</t>
  </si>
  <si>
    <t>Sisa Kunjungan</t>
  </si>
  <si>
    <t>Total Kunjungan</t>
  </si>
  <si>
    <t>Garansi atau Tidak</t>
  </si>
  <si>
    <t>Tgl Hari Ini</t>
  </si>
  <si>
    <t>Days From BAST</t>
  </si>
  <si>
    <t>Visit Date</t>
  </si>
  <si>
    <t>Status</t>
  </si>
  <si>
    <t>Tech</t>
  </si>
  <si>
    <t>Report</t>
  </si>
  <si>
    <t>Note</t>
  </si>
  <si>
    <t>Kunjungan Ke -</t>
  </si>
  <si>
    <t>Masa Garansi ( Days )</t>
  </si>
  <si>
    <t>Total Free Awal</t>
  </si>
  <si>
    <t>Kunjungan Berjalan</t>
  </si>
  <si>
    <t>Sisa</t>
  </si>
  <si>
    <t>Kontrak Maintenance</t>
  </si>
  <si>
    <t>Rifaldi</t>
  </si>
  <si>
    <t>Done</t>
  </si>
  <si>
    <t>Ganti Battery</t>
  </si>
  <si>
    <t>-</t>
  </si>
  <si>
    <t>Tgl Maintenance 1</t>
  </si>
  <si>
    <t>Tgl Maintenance ke -3</t>
  </si>
  <si>
    <t>Tgl Maintenance Ke - 2</t>
  </si>
  <si>
    <t>Tgl Maintenance Berjalan</t>
  </si>
  <si>
    <t>Maintenance Berjalan</t>
  </si>
  <si>
    <t>Tgl Maintenance Free</t>
  </si>
  <si>
    <t>Free Kunjungan</t>
  </si>
  <si>
    <t>Free Maintenance</t>
  </si>
  <si>
    <t>Maintenance Kontrak</t>
  </si>
  <si>
    <t>Free Maintenance Sisa</t>
  </si>
  <si>
    <t>Sisa Free</t>
  </si>
  <si>
    <t>Total Kontrak MC</t>
  </si>
  <si>
    <t>Kunjungan</t>
  </si>
  <si>
    <t>21/0256</t>
  </si>
  <si>
    <t xml:space="preserve"> Howard Kasima</t>
  </si>
  <si>
    <t xml:space="preserve"> Henny  Medan</t>
  </si>
  <si>
    <t xml:space="preserve"> Darminto (Eko) / Felicia Nata</t>
  </si>
  <si>
    <t xml:space="preserve">Hans Jurgen </t>
  </si>
  <si>
    <t>Yesaya Milano - Situbondo</t>
  </si>
  <si>
    <t>YESAYA MALINO  - Situbondo</t>
  </si>
  <si>
    <t>Ida Sofia SH-Gadog</t>
  </si>
  <si>
    <t>Dev - Pasar Baru</t>
  </si>
  <si>
    <t>PT. Swi Jetty Nusantara-Makassar</t>
  </si>
  <si>
    <t>Windri Lestari Rusli</t>
  </si>
  <si>
    <t>Mr. Jorge Serrano-Timor Leste</t>
  </si>
  <si>
    <t>Yudi Bandung</t>
  </si>
  <si>
    <t>Jennifer (PT Karya Anugerah)</t>
  </si>
  <si>
    <t>Like Meilani - Surabaya</t>
  </si>
  <si>
    <t>Feffri Chaidir, SE</t>
  </si>
  <si>
    <t>DRA. ARDINA SAFITRI</t>
  </si>
  <si>
    <t>PT Renata Global Supply</t>
  </si>
  <si>
    <t>Eddy Laimancius (CV BajaSakti Trans Perkasa)</t>
  </si>
  <si>
    <t>PT Intitirta Makmur</t>
  </si>
  <si>
    <t>Sutiono Sumarno (Ayen)</t>
  </si>
  <si>
    <t>PT CERIA NUGRAHA ADITAMA  - Kolaka</t>
  </si>
  <si>
    <t>PT. Trimitra Alkabes Mandiri -BALI Andreas Hartono Gani</t>
  </si>
  <si>
    <t>PT Pulau Intan (Yashinta Menteng)</t>
  </si>
  <si>
    <t>Agung Subagiyo</t>
  </si>
  <si>
    <t>Djohan Darmadi</t>
  </si>
  <si>
    <t>PT. Trishul Indo Sakti, Bali</t>
  </si>
  <si>
    <t>Tinus Thepadjaya</t>
  </si>
  <si>
    <t>TIMMOTHY DANIEL RUSLIM (Lusi Summarecon)</t>
  </si>
  <si>
    <t xml:space="preserve"> KSO ADHI-CEC   </t>
  </si>
  <si>
    <t>Edwin Agung Saputra(Lydia PIK)</t>
  </si>
  <si>
    <t>Benny Limanto - PIK SKYDANCE</t>
  </si>
  <si>
    <t>Hartono (Ano)</t>
  </si>
  <si>
    <t xml:space="preserve">UU Sutrisno - Bandung </t>
  </si>
  <si>
    <t>MOHAN VASWANI-Malang</t>
  </si>
  <si>
    <t>Yay Budi Siswa  Mr. Pater R.B. Leonardus Evert Bambang Winandoko, SJ</t>
  </si>
  <si>
    <t>PT Jaya Kusuma Sarana</t>
  </si>
  <si>
    <t>Fatehchand Daulatram Stairlift</t>
  </si>
  <si>
    <t>H. Mahmud Fauzi Nasir-Masjid Nurul Amal</t>
  </si>
  <si>
    <t xml:space="preserve"> Suparli</t>
  </si>
  <si>
    <t>PT Hurama Anugerah Berjaya - Robin</t>
  </si>
  <si>
    <t>Dr. Eddy Widodo</t>
  </si>
  <si>
    <t>Suharto Hadju- Adhyaksa Dault</t>
  </si>
  <si>
    <t>PT Hurama Anugerah Berjaya - Vonny</t>
  </si>
  <si>
    <t>Djohan Junus Tamsir-Rancamaya</t>
  </si>
  <si>
    <t>Dr. Pengky Pranata-Ms Yulia Sentul</t>
  </si>
  <si>
    <t>Eddie Darma Salim</t>
  </si>
  <si>
    <t>PT. Prasetya Mulya Abadi (Setyadi)</t>
  </si>
  <si>
    <t>Bpk Awong Hidjaya</t>
  </si>
  <si>
    <t>PT. Bima Asri Intermitra</t>
  </si>
  <si>
    <t>Hendra Jaya MBA</t>
  </si>
  <si>
    <t xml:space="preserve"> Erastus Sabdono</t>
  </si>
  <si>
    <t>Sri Ayu Lestari</t>
  </si>
  <si>
    <t>PT. Hatsonsurya Electric (Hariyanto)-Surabaya</t>
  </si>
  <si>
    <t>Arif Suhartojo</t>
  </si>
  <si>
    <t>JUJUN TJAKRALAKSAN-Bandung</t>
  </si>
  <si>
    <t>Edison Jingga (Hans Jingga)</t>
  </si>
  <si>
    <t>Janne Idris</t>
  </si>
  <si>
    <t>Gunawan Priatna</t>
  </si>
  <si>
    <t xml:space="preserve">PT. Gagah Putera Satria-Dharma </t>
  </si>
  <si>
    <t>Goey Sioe Giok (Bpk Astan) Sunter</t>
  </si>
  <si>
    <t>PT. Nindya Karya (IKN)</t>
  </si>
  <si>
    <t>PT. Karya Akbar Mandiri (Anggia)</t>
  </si>
  <si>
    <t>PT Hage Primadi Konstruksi (Ms Priyanka)</t>
  </si>
  <si>
    <t>Heni Setiawati</t>
  </si>
  <si>
    <t>Silfanni Yanto-BSD</t>
  </si>
  <si>
    <t>Yulianah Yulianah - Julius</t>
  </si>
  <si>
    <t>Mus Abdullah - Pandaan Jawa Timur</t>
  </si>
  <si>
    <t>Janni BSD</t>
  </si>
  <si>
    <t>Andrew Sunaryo Gunawan</t>
  </si>
  <si>
    <t>Priska</t>
  </si>
  <si>
    <t>Hasun Lokito-Medan</t>
  </si>
  <si>
    <t>Budi Nuvrizal-Vania</t>
  </si>
  <si>
    <t>Tutiawati Subagio</t>
  </si>
  <si>
    <t>Indra Usmansjah Bakrie</t>
  </si>
  <si>
    <t>Elsye Augustina Lie</t>
  </si>
  <si>
    <t>PT. Total Bangun Persada Tbk-Batam</t>
  </si>
  <si>
    <t>CV Ozone Friendly (Johansen Ngian)</t>
  </si>
  <si>
    <t xml:space="preserve"> Ricky Raymond Tjhie</t>
  </si>
  <si>
    <t>Kumar</t>
  </si>
  <si>
    <t>PT Permata Sarana Husada ( Dr Novi )</t>
  </si>
  <si>
    <t>Harsono Smart Clinic</t>
  </si>
  <si>
    <t>PT Wira Properti (Andy)</t>
  </si>
  <si>
    <t>Hargono, Drs-Banjarmasin</t>
  </si>
  <si>
    <t>Clara Fransisca Darniaty</t>
  </si>
  <si>
    <t>Jaman (Ferry)</t>
  </si>
  <si>
    <t>Esmaldiansyah</t>
  </si>
  <si>
    <t>Jacobus Irawan</t>
  </si>
  <si>
    <t>Bintang Jupiter - Bali</t>
  </si>
  <si>
    <t>Burhanudin (Ebdesk Teknologi- Muhammad Iqbal)</t>
  </si>
  <si>
    <t>PT Utama Sinergi Persada-Heryanto- Surabaya</t>
  </si>
  <si>
    <t>Rizki Amelia</t>
  </si>
  <si>
    <t>Djie Anna</t>
  </si>
  <si>
    <t>Martin Haendra Nata</t>
  </si>
  <si>
    <t>Lo Herry</t>
  </si>
  <si>
    <t>Linas - Bandung</t>
  </si>
  <si>
    <t>Aspal Polimer Emulsindo - Ibu Nissa Bintaro</t>
  </si>
  <si>
    <t xml:space="preserve"> Grace Sintjie Soegiarto</t>
  </si>
  <si>
    <t>Suwanto - PVE Kantor Artha Gading</t>
  </si>
  <si>
    <t>Febby</t>
  </si>
  <si>
    <t>PT Persada Dua Rajawali (Will Kramat Sentiong)</t>
  </si>
  <si>
    <t xml:space="preserve">Lionhart Group (Cambodia) Company Limited </t>
  </si>
  <si>
    <t>Firman Rusli</t>
  </si>
  <si>
    <t>DRS. Ricky Irawan</t>
  </si>
  <si>
    <t xml:space="preserve"> Bertha PT Andal Prima Adhitama Perkasa</t>
  </si>
  <si>
    <t>PT Shape Up Indonesia- Ibu Lany =MOI</t>
  </si>
  <si>
    <t>PT. PRIAMANAYA ENERGI (Rasyad)</t>
  </si>
  <si>
    <t>Domoflex2</t>
  </si>
  <si>
    <t>Domoflex II</t>
  </si>
  <si>
    <t>DomoFlex 2 - All Glass</t>
  </si>
  <si>
    <t>Indomo Indoor</t>
  </si>
  <si>
    <t>PVE/INDN/010/23-24</t>
  </si>
  <si>
    <t>PVE/INDN/009/23-24</t>
  </si>
  <si>
    <t>SW107100</t>
  </si>
  <si>
    <t>PVE/INDN/011/23-24</t>
  </si>
  <si>
    <t>SW104862</t>
  </si>
  <si>
    <t>SW106823</t>
  </si>
  <si>
    <t>PVE/INDN/012/24-25</t>
  </si>
  <si>
    <t>PVE/INDN/013/24-25</t>
  </si>
  <si>
    <t>SW108102</t>
  </si>
  <si>
    <t>SW108015</t>
  </si>
  <si>
    <t>SW107327</t>
  </si>
  <si>
    <t>SW105802</t>
  </si>
  <si>
    <t>SW108740</t>
  </si>
  <si>
    <t>SW108002</t>
  </si>
  <si>
    <t>SW108858</t>
  </si>
  <si>
    <t>2022/1299</t>
  </si>
  <si>
    <t>SW108260</t>
  </si>
  <si>
    <t>SW109291</t>
  </si>
  <si>
    <t>SW105778</t>
  </si>
  <si>
    <t>PVE/INDN/006/24-25</t>
  </si>
  <si>
    <t>Midio</t>
  </si>
  <si>
    <t>SW107230</t>
  </si>
  <si>
    <t>SW110356</t>
  </si>
  <si>
    <t>SW109242</t>
  </si>
  <si>
    <t>23/0247</t>
  </si>
  <si>
    <t>SW109596</t>
  </si>
  <si>
    <t>SW111445</t>
  </si>
  <si>
    <t>SW109439</t>
  </si>
  <si>
    <t>SW110337</t>
  </si>
  <si>
    <t xml:space="preserve"> SW110684</t>
  </si>
  <si>
    <t>SW110975</t>
  </si>
  <si>
    <t>Straight Left Sand</t>
  </si>
  <si>
    <t>SW111072</t>
  </si>
  <si>
    <t>SW105187</t>
  </si>
  <si>
    <t>SW110357</t>
  </si>
  <si>
    <t>SW110912</t>
  </si>
  <si>
    <t>SW111717</t>
  </si>
  <si>
    <t>SW110925</t>
  </si>
  <si>
    <t>Stairlift Left Cognac</t>
  </si>
  <si>
    <t>SW111988</t>
  </si>
  <si>
    <t xml:space="preserve"> SW111010</t>
  </si>
  <si>
    <t xml:space="preserve">Stairlift Left </t>
  </si>
  <si>
    <t>SW111197</t>
  </si>
  <si>
    <t>SW112370</t>
  </si>
  <si>
    <t>SW110460</t>
  </si>
  <si>
    <t>SW112229</t>
  </si>
  <si>
    <t>SW112686</t>
  </si>
  <si>
    <t>SW105494</t>
  </si>
  <si>
    <t>Stairlift Curved Left Sand</t>
  </si>
  <si>
    <t>2023/831</t>
  </si>
  <si>
    <t>SW111110</t>
  </si>
  <si>
    <t>SW110266</t>
  </si>
  <si>
    <t>Udah</t>
  </si>
  <si>
    <t>PVE/INDN/008/24-25</t>
  </si>
  <si>
    <t>UP-004959</t>
  </si>
  <si>
    <t>SW105022</t>
  </si>
  <si>
    <t>SW113048</t>
  </si>
  <si>
    <t>SW112895</t>
  </si>
  <si>
    <t>2022/491</t>
  </si>
  <si>
    <t>SW112680</t>
  </si>
  <si>
    <t>22/244</t>
  </si>
  <si>
    <t>2022/489</t>
  </si>
  <si>
    <t>2022/472</t>
  </si>
  <si>
    <t>Ir. Indra Prameswara, SE</t>
  </si>
  <si>
    <t xml:space="preserve"> Lucian Lewis</t>
  </si>
  <si>
    <t xml:space="preserve"> Stefanus Yulianto (Evan Malang)</t>
  </si>
  <si>
    <t xml:space="preserve"> Iskandar 1</t>
  </si>
  <si>
    <t xml:space="preserve"> Iskandar 2</t>
  </si>
  <si>
    <t>14 Sept 2023</t>
  </si>
  <si>
    <t>15 sept 2023</t>
  </si>
  <si>
    <t xml:space="preserve">19 Sept 2023 </t>
  </si>
  <si>
    <t>Area</t>
  </si>
  <si>
    <t>Makasar</t>
  </si>
  <si>
    <t>Jakarta Utara</t>
  </si>
  <si>
    <t>Kalimantan Timur</t>
  </si>
  <si>
    <t>Jakarta Selatan</t>
  </si>
  <si>
    <t>Surabaya</t>
  </si>
  <si>
    <t xml:space="preserve">Medan </t>
  </si>
  <si>
    <t>Jawa Timur</t>
  </si>
  <si>
    <t xml:space="preserve">Jakarta Selatan </t>
  </si>
  <si>
    <t>Tangerang</t>
  </si>
  <si>
    <t>Yogyakarta</t>
  </si>
  <si>
    <t>Jakarta Barat</t>
  </si>
  <si>
    <t>Bandung</t>
  </si>
  <si>
    <t>Makassar</t>
  </si>
  <si>
    <t>Jawa Tengah</t>
  </si>
  <si>
    <t>NTT</t>
  </si>
  <si>
    <t xml:space="preserve">Jakarta Timur </t>
  </si>
  <si>
    <t>Puncak</t>
  </si>
  <si>
    <t xml:space="preserve">Jawa Timur </t>
  </si>
  <si>
    <t>Depok</t>
  </si>
  <si>
    <t xml:space="preserve">Jakarta Pusat </t>
  </si>
  <si>
    <t>Jakarta Pusat</t>
  </si>
  <si>
    <t>Kalimantan Selatan</t>
  </si>
  <si>
    <t xml:space="preserve">Bekasi </t>
  </si>
  <si>
    <t>Salatiga</t>
  </si>
  <si>
    <t xml:space="preserve">Surabaya </t>
  </si>
  <si>
    <t>Bali</t>
  </si>
  <si>
    <t>bali</t>
  </si>
  <si>
    <t>Cibubur</t>
  </si>
  <si>
    <t>Semarang</t>
  </si>
  <si>
    <t>Pekanbaru</t>
  </si>
  <si>
    <t>Kalimantan Utara</t>
  </si>
  <si>
    <t>Jakarta</t>
  </si>
  <si>
    <t>Bekasi</t>
  </si>
  <si>
    <t>Palembang</t>
  </si>
  <si>
    <t>Bogor</t>
  </si>
  <si>
    <t>Jambi</t>
  </si>
  <si>
    <t>Cileungsi</t>
  </si>
  <si>
    <t>Banten</t>
  </si>
  <si>
    <t>Kalimantan Tengah</t>
  </si>
  <si>
    <t xml:space="preserve">Bogor </t>
  </si>
  <si>
    <t>Selatan</t>
  </si>
  <si>
    <t>tangerang</t>
  </si>
  <si>
    <t xml:space="preserve">Pekanbaru </t>
  </si>
  <si>
    <t xml:space="preserve">Timor Leste </t>
  </si>
  <si>
    <t>Sentul</t>
  </si>
  <si>
    <t>Kolaka</t>
  </si>
  <si>
    <t>IKN</t>
  </si>
  <si>
    <t>Malang</t>
  </si>
  <si>
    <t>Karawaci</t>
  </si>
  <si>
    <t>Karawang</t>
  </si>
  <si>
    <t>Batam</t>
  </si>
  <si>
    <t>Cambodia</t>
  </si>
  <si>
    <t>done</t>
  </si>
  <si>
    <t>PT Sumberdaya Indonesia (Andi Yusuf - Mangga)( nur graha bun)</t>
  </si>
  <si>
    <t>Alamat</t>
  </si>
  <si>
    <t>Jl. Pasirsalam VII No. 3, RT 006/RW 009. Ancol. Regol. Bandung</t>
  </si>
  <si>
    <t>Jl. Timah Raya A25/14. Kel. Balapparang. Kec. Panakkukang. Makassar</t>
  </si>
  <si>
    <t>komp. Imperial gading blok f2 no.21</t>
  </si>
  <si>
    <t>Jl. Panglima Batur No. 43-46 RT. 008, Pasar Pagi, Samarinda, Kal-Tim</t>
  </si>
  <si>
    <t>Jl. Boulevard Utara Raya Ruko QJ5 no. 27. Kelapa Gading. Jakarta Utara</t>
  </si>
  <si>
    <t>Jl. Kebagusan Dalam No 6 RT 08/RW 04, Kebagusan</t>
  </si>
  <si>
    <t>Jalan Lebak Raya III Utara Nomor 20, Kec. Tambaksari, Surabaya</t>
  </si>
  <si>
    <t>Jl. Tebet Barat Dalam VII no. 16</t>
  </si>
  <si>
    <t>Blok B 4 No.3 , jl. Bona Permai IV Bona Indah. Jl. Lebak Bulus1. Cilandak</t>
  </si>
  <si>
    <t>Jl. Hang Lekir XII no. 8. Jakarta Selatan</t>
  </si>
  <si>
    <t>Jl. H.A Salim No. 177. Kota Madiun, Jawa Timur</t>
  </si>
  <si>
    <t>Jl. Taman Lebak Bulus IV Blok O No. 45, Lebak Bulus, Cilandak</t>
  </si>
  <si>
    <t>Jl. Pantai Indah Utara 3 UT/S. 12-20 RT/RW 010/007, Muara Karang, Penjaringan, Jak-Ut</t>
  </si>
  <si>
    <t>Jl. Danau Indah Barat I A/E 3/6 RT006/RW014. Kelurahan 
Sunter Jaya, Kec. Tanjung Priok</t>
  </si>
  <si>
    <t>Jl. Sekolah Duta VI No. 15. Pondok Indah. Jakarta Selatan</t>
  </si>
  <si>
    <t>Perumahan Gading Serpong Cluster VI A, L'Obelisco Due no 33, 
Curug, Tangerang</t>
  </si>
  <si>
    <t>Jl. Duku Barat I/30, RT 008/RW 007, Tanjung Utara, 
Grogol Petamburan, Jakarta Barat</t>
  </si>
  <si>
    <t>Jl. Budi Indah No.38, Ledeng, Kec. Cidadap, Kota Bandung, 
Jawa Barat 40143</t>
  </si>
  <si>
    <t>Bukit Trawas Garden Blok A6. Villa Philadelphia. Trawas</t>
  </si>
  <si>
    <t>Pinang Perak II PB 09 Jakarta Selatan</t>
  </si>
  <si>
    <t>Jl Brawijaya 8 No 20. Kebayoran Baru, Jakarta</t>
  </si>
  <si>
    <t>Jl. Andi Mappanyuki No. 9. Kecamatan Mariso, Makassar, Sulawesi Selatan</t>
  </si>
  <si>
    <t>Ruko Emerald blok UA 23. Jl Boulevard Selatan Summarecon Bekasi 
RT 004 RW 011, Margo Mulya. Bekasi</t>
  </si>
  <si>
    <t>Ruko Kebayoran Square Blok C 15-16. Jl. Boulevard Bintaro Jaya, 
Pondok Jaya, Pondok Aren</t>
  </si>
  <si>
    <t>Cluster Mozart Signature TMBB No. 86. Pantai Indah Kapuk</t>
  </si>
  <si>
    <t>Jl. Albisindo No. 2 Gedondong, Gondosari, Kec. Gebong, Kudus, 
Jawa Tengah</t>
  </si>
  <si>
    <t>RSIA Mitra Ananda. Jl. Ahmad Yani Nomor 28, Walingapu, 
Sumba Timur, Nusa Tenggara Timur</t>
  </si>
  <si>
    <t>Jl. Wijaya Kusuma Blok L3 RT.001 RW.009, Duren Sawit, Jakarta Timur</t>
  </si>
  <si>
    <t>Komplek Colibah kav 454. Gang Ambarita, Puncak</t>
  </si>
  <si>
    <t>Klinik Multilab. Jalan Balai Pustaka Nomor 225, Rawamangun. Jakarta</t>
  </si>
  <si>
    <t>Bukit Golf M1/2. Citraland RT 01/RW 04. Surabaya. Jawa Timur</t>
  </si>
  <si>
    <t>Jl. Pelepah Hijau I Blok TG 2 No. 3 Kelapa Gading, Jakarta Utara</t>
  </si>
  <si>
    <t>Office Building Data Center &amp; Teleport. Jl Raya Tapos Nomor 31, 
Cimpaeun, Depok, Jawa Barat</t>
  </si>
  <si>
    <t>Perumahan Bukit Idaman 58 (Dreamhill) Terusan Jalan Cipaku Indah XI Bandung</t>
  </si>
  <si>
    <t>Aikonik Residence Menteng, Jl. Surabaya no. 35D, Menteng, Jakarta Pusat</t>
  </si>
  <si>
    <t>Jl. Jalan Palm Merah I Blok BH Nomor 12. Bumi Serpong Damai Sektor III. Tangerang</t>
  </si>
  <si>
    <t>PT. Comfort Aire Aneka Teknik - Jl. Raya Cempaka Putih (Jl. Rempoa Raya) No. 3 RW 005. Bintaro. Jakarta Selatan</t>
  </si>
  <si>
    <t>Jl. Lilium Timur 6 No. 4 Kraton Residence, Krian, Sidoarjo</t>
  </si>
  <si>
    <t>Cluster Springwood VI No. 17, Gading Sedayu City</t>
  </si>
  <si>
    <t>Mitra Gading Villa Blok C1/27. Kelapa Gading</t>
  </si>
  <si>
    <t>Jl. Melawai Raya no. 21B, Kebayoran Baru, Jakarta Selatan</t>
  </si>
  <si>
    <t>Jl. Agung Permai 4 Blok C.6/16 RT. 001 RW.011 Kel. Sunter Agung, Tanjung Priok, Jakarta Utara</t>
  </si>
  <si>
    <t>Jl. Sawah Lio I no. 42 RT 09 RW 01. Jembatan Lima. Jakarta Barat</t>
  </si>
  <si>
    <t>Jl. Pulau Panggang Blok R2 Nomor 25, Permata Buana, Jakarta Barat</t>
  </si>
  <si>
    <t>Jalan Royal Orchard Timur IX Blok DK 06. Kelapa Gading Jakarta Utara</t>
  </si>
  <si>
    <t>Jl. Bangka Raya No. 11. Jakarta Selatan</t>
  </si>
  <si>
    <t>TPU KARET BIVAK</t>
  </si>
  <si>
    <t>Angsau, Pelihari, Tanah Laut, Kalimantan Selatan</t>
  </si>
  <si>
    <t>Jl. Taman Patra XII No. 5. Kuningan Timur. Jakarta 12950</t>
  </si>
  <si>
    <t>Perumahan Graha Famili Blok O No. 319A. Surabaya</t>
  </si>
  <si>
    <t>Jl. Layar Permai II No. 12A Pantai Indah Kapuk Jakarta Utara</t>
  </si>
  <si>
    <t>Summarecon Morizen GG 001 &amp; GG 003 Bekasi</t>
  </si>
  <si>
    <t>Villa Pondok Indah Blok C 16, Pondok Indah, Jakarta Selatan</t>
  </si>
  <si>
    <t>Kirana Boutique. Jl. Kirana Avenue 2 Blok C-1 No.3. 
Kelapa Gading Timur, Jak-Ut</t>
  </si>
  <si>
    <t>Jl. Merpati 2 No. C 76, RT.3/RW.10, Gn. Sahari Utara, Kecamatan 
Sawah Besar, Kota Jakarta Pusat, Daerah Khusus Ibukota Jakarta 10720</t>
  </si>
  <si>
    <t>Graha Family Blok W No. 9, Pradah Kali Kendal, Dukuh Pakis, Surabaya 60277</t>
  </si>
  <si>
    <t>Hotel PITU Rooms, Jl. Sukowati No. 33. Salatiga</t>
  </si>
  <si>
    <t>Jalan golf timur 3 no. BLK B1/6, Penjaringan, Jakarta 14470</t>
  </si>
  <si>
    <t>Jl. Dian Istana Blok A3 No. 71. Wiyung</t>
  </si>
  <si>
    <t>Jl. Pancoran Timur Raya No. 18 RT8/RW9. Pancoran. Jakarta Selatan</t>
  </si>
  <si>
    <t>Banjar Dinas Bebali Kaja, Desa Berembeng, Kec. Selemadeg, Kab. Tabanan, Bali 82163</t>
  </si>
  <si>
    <t>Jl. Tukad Badung Blok 29. Denpasar Selatan, Bali</t>
  </si>
  <si>
    <t>JL. Jalur Lingkaran Barat, Taman lanrean Indah Kec. Tamalanrea, Kota Makassar</t>
  </si>
  <si>
    <t>Perumahan Dian Istana Cluster Moca Vrbana Blok G no. 7</t>
  </si>
  <si>
    <t>Hadiah Utama 2G Blok F6 no 1542 Pak</t>
  </si>
  <si>
    <t>Jl. Kekeluargaan II Blok L. 3 No.22 lewat Jl. Kekeluargaan II</t>
  </si>
  <si>
    <t>Jl. Kembang Ayu I Blok E7 No. 21. Kembangan Selatan. Puri Indah. Jakarta Barat 11610</t>
  </si>
  <si>
    <t>Jl. Gading elok utara 1 blok FE 2 no 12A</t>
  </si>
  <si>
    <t>Jl. Taman Bintaro No.10, RT.7/RW.11, Bintaro, Kec. Pesanggrahan, 
Kota Jakarta Selatan, Daerah Khusus Ibukota Jakarta 12330</t>
  </si>
  <si>
    <t>Jl. Cempaka Lestari I Blok I No.15</t>
  </si>
  <si>
    <t>Jl. RA Kartini No.150 RT 001 RW 005 Sidomoro Kebomar, Gresik, Jawa Timur</t>
  </si>
  <si>
    <t>Kanjeran 575, Kalijudan Mulyorejo Kota Surabaya, Jawa Timur 60114</t>
  </si>
  <si>
    <t>Cilangkap Residence, Jl. Raya Setu 22A</t>
  </si>
  <si>
    <t>KOMP P DAN K No.27 A RT 001/004 Kel. LEBAK BULUS Kec. CILANDAK JAKARTA SELATAN 12440</t>
  </si>
  <si>
    <t>Cluster orlando Blok RB II No.17 Kota Wisata Cibubur</t>
  </si>
  <si>
    <t>Jl. Wijaya IV No, 52, RT.3/RW.5, Melawai, Kec. Kebayoran Baru, Jakarta Selatan 12160</t>
  </si>
  <si>
    <t>proyek MPP (mall pelayanan publik semarang)</t>
  </si>
  <si>
    <t>Jl. Buana Biru Besar 1 Blok C1/9, Permata Buana, Jakarta Barat</t>
  </si>
  <si>
    <t>Perumahan Nirvana Residences (block C3), Jl. Soekarno - Hatta, Pekanbaru
Delima, Tampan, Kota Pekanbaru, Riau, 28289</t>
  </si>
  <si>
    <t>Villa Bukit Regency II, Blok PD 7 No.20 Surabaya Barat, Surabaya, Jawa Timur</t>
  </si>
  <si>
    <t>Villa Gading Indah Blok I no.35, Kelapa Gading, Jakarta Utara</t>
  </si>
  <si>
    <t>Jl. Kol Soetadji no. 14, RT 006, Tanjung Selor Hilir, Tanjung Selor,Bulungan, Kalimantan Utara 77214</t>
  </si>
  <si>
    <t>Perumahan Taman Galaxy Jalan Agave VI Blok M No.5 RT.06 RW.014, Jaka Setia, Bekasi Selatan</t>
  </si>
  <si>
    <t>Vimala Hills Cluster Kinabalu NB 05 Jl. Puncak raya, Simpang Gadog Bogor, Jawa Barat</t>
  </si>
  <si>
    <t>Serenade Lagoon 7 No. 16 Golf Island, Pantai Indah Kapuk, Jakarta Utara</t>
  </si>
  <si>
    <t>Cluster Mozard No.88 Golf Island, Pantai Indah Kapuk</t>
  </si>
  <si>
    <t>Taman Puspa Raya Blok C6/15A, Citraland, Surabaya</t>
  </si>
  <si>
    <t>Jl. Rempoa Permai Housing No. 28. Bintaro. Jakarta Selatan</t>
  </si>
  <si>
    <t>Central Park Ahmad Yani Blok A1B,Ketintang, Surabaya</t>
  </si>
  <si>
    <t>Jakarta Garden City, River Garden, Cluster Yarra E2-25. Jakarta</t>
  </si>
  <si>
    <t>Perumahan Springhill tahap 1 blok D7, Jl. Golf View Blok GV No. A5, Kemayoran, Jakarta Utara</t>
  </si>
  <si>
    <t>Casa Grande Blok Barcelona Kav 353, Ring Road Utara, Maguwoharjo, Depok-Sleman, DI Yogyakarta 55282</t>
  </si>
  <si>
    <t>Jl. Taman Wijaya Kusuma Raya No.19 RT.008 RW.004 Pondok Labu Cilandak Jakarta Selatan</t>
  </si>
  <si>
    <t>Jl. Shinta No.18 Sariharjo, Ngaglik, Sleman, DI Yogya 55581</t>
  </si>
  <si>
    <t>Jl. Balingasal RT.01 RW.05, Kec. Pandureso Kab. Kebumen, Jawa Tengah</t>
  </si>
  <si>
    <t>Jl. Kelapa Sawit XIII Blok BG 11/14, gading Serpong, Tangerang</t>
  </si>
  <si>
    <t>Pondok Kopi PA 4-5 RT010/RW001, Pondok Kopi, Duren Sawit, DKI Jakarta</t>
  </si>
  <si>
    <t>Jl. Gunung Sahari No. 2, Komp. Marina Mangga Dua No. E-21, Jakarta Utara</t>
  </si>
  <si>
    <t>Jl. Barito I No 25, RT004/RW007 Kramat Pela, Kebayoran baru, Jakarta Selatan</t>
  </si>
  <si>
    <t>The Amarylis Residence Calesta No.38 RT.001 RW.004, Tanjung Merdeka, Tamalate, Kota Makassar</t>
  </si>
  <si>
    <t>Jl. Landak No.6 Rt.002 RW.001 Mamanjang Dalam, Makassar</t>
  </si>
  <si>
    <t>No. 26A 90113, Jl Monginsidi lama, Mangkura, Ujung Pandang, Mangkura, Kota Makassar, Sulawesi Selatan 90114</t>
  </si>
  <si>
    <t>Jl. Pajajaran No.4, RW.06, Keputran, Kec. Tegalsari, Surabaya, Jawa Timur 60265</t>
  </si>
  <si>
    <t>Jl. Arapaima No. AT 27 Mediterania Regency, Cikunir, Jaka Mulya, Bekasi Selatan,</t>
  </si>
  <si>
    <t>Jln Sapta Marga No.60, Kel. Bukit Sangkal, Kec. Kalidoni, Kota Palembang,</t>
  </si>
  <si>
    <t>Jl. Bromo no 1A Semarang Jawa Tengah</t>
  </si>
  <si>
    <t>Jl. Dukuh Kupang XXI No. 32. Dukuh Pakis, Surabaya</t>
  </si>
  <si>
    <t>Taman Royal Residence Jl. Pinus 1 Cipondoh, Tangerang</t>
  </si>
  <si>
    <t>Ruko Mall Of Indonesia, Blok I no 3B, Jl Boulevard Barat Raya, Kelapa Gading, Jakarta Utara</t>
  </si>
  <si>
    <t>Jalan Tanjung No 6, Cemara Asri Kel.Sampali, Kec. Percal Sei Tuan, Deli Serdang</t>
  </si>
  <si>
    <t>Jl. Raya Tumbakbayuh, Mengwi, Badung, Bali</t>
  </si>
  <si>
    <t>Jl. Tosiga VIII No.6, RT.4/RW.4, Kebon Jeruk, West Jakarta City, Jakarta</t>
  </si>
  <si>
    <t>Jl. Kemuning No.58, Jati Pulo, Palmerah, Jakarta Barat, DKI Jakarta</t>
  </si>
  <si>
    <t>Jl. Manyar Permai 6 Blok U5 No. 26. Pantai Indah Kapuk. Jakarta</t>
  </si>
  <si>
    <t>Bukit Gading Raya Blok L-25, Kelapa Gading Brat, Jakarta Utara (Masuknya lewat berbang samping (gerbang barang) nanti bilangnya mau ke rumah pak susilo)</t>
  </si>
  <si>
    <t>Jl. Gelong Baru Utara II No.1 Tomang, Kec. Grogol petamburan, Kota Jakarta Barat, Daerah Khusus Ibukota Jakarta 11440</t>
  </si>
  <si>
    <t>Dharmahusada Mas B-125, Mulyorejo, Surabaya</t>
  </si>
  <si>
    <t>Kota Wisata Cluster Miami Blok SL 5, No. 15. Kota Wisata. Cibubur</t>
  </si>
  <si>
    <t>Jl. Balai Pustaka No.2A RT.01 RW.10, Rawamangun, Kec. Pulo Gadung, 
Kota Jakarta Timurr, DKI Jakarta 13220</t>
  </si>
  <si>
    <t>Jalan Setiabudi No.55, Kel. Srodol Kulon, Kec. Banyumanik, Semarang, Jawa Tengah 50263</t>
  </si>
  <si>
    <t>Jl Tanjung Duren Utara V no. 244, Grogol Petamburan, Jakarta Barat</t>
  </si>
  <si>
    <t>Kav. H. Jl. Taman Harapan 1 RT.002 RW.003, Kel. Cawang, kec. Cawang, Kramat jati</t>
  </si>
  <si>
    <t>tha</t>
  </si>
  <si>
    <t>Jl. Bunga Jasmine No 31, Sentul Bogor ,</t>
  </si>
  <si>
    <t>Jl. Pluit Selatan 8 No.12, Jakarta Utara</t>
  </si>
  <si>
    <t>Komplek Timah Blok AA No.32, Tugu, Cimanggis, Depok, Jawa Barat</t>
  </si>
  <si>
    <t>Muara Bungo</t>
  </si>
  <si>
    <t>Jl. Patal Senayan I No.5 RT 009 RW 007 Grogol Utara, Kebayoran lama, Jakarta Selatan</t>
  </si>
  <si>
    <t>Jl. Asem VI Komp TM Griya Indah No. 10 RT 14 / RW 05</t>
  </si>
  <si>
    <t>Villa Kemayoran Blok A15, RT003, RW 010, Gunung Sahari, Kemayoran DKI Jakarta</t>
  </si>
  <si>
    <t>Rafles Hils Cibubur Blok F3 No. 3, Cileungsi</t>
  </si>
  <si>
    <t>The Springs Summarecon Serpong Cluster Jl. Scarlet Barat No.20, Cihuni , Kec Pagedangan, Kab Tangerang, Banten 15332</t>
  </si>
  <si>
    <t>Jl. Kayu Mas Utara No. 294, Pulogadung, Jakarta Timur 13260</t>
  </si>
  <si>
    <t>JL Cempaka Putih Tengah 6 no 3 Jakarta Pusat</t>
  </si>
  <si>
    <t>Rumah Jabatan Bupati Jl. Ahmad Yani Kelurahan Lanjas, Kecamatan 
Teweh Tengah, Kabupaten Barito Utara, Provinsi Kalimantan Tengah 73812</t>
  </si>
  <si>
    <t>Bukti Gading Mediterania Casablanca IX BR2, Kelapa Gading, Jakarta Utara</t>
  </si>
  <si>
    <t>Jl. Paso 1 Taman Khas No.4, Kec. Jagakarsa, Kota Jakarta Selatan, DKI Jakarta 12520</t>
  </si>
  <si>
    <t>Jl. Mangga Besar VI/36, Taman Sari, Jakarta Barat</t>
  </si>
  <si>
    <t>Jl.panglima batur No. 1, Banjarbaru, South Borneo</t>
  </si>
  <si>
    <t>Jl. Kelapa Puan Timur VI Blok NB 6 No. 19. Kelapa Gading</t>
  </si>
  <si>
    <t>Jl Mahogany Island MI no. 08, Summarecon Bogor</t>
  </si>
  <si>
    <t>Aristoteles Utara No. 27 Gading Serpong</t>
  </si>
  <si>
    <t>Villa Permata Cisarua, Jl Pasir Tugu No.17 Cibereum, Kec. Cisarua, Bogor</t>
  </si>
  <si>
    <t>Perumahan Senayan Residence, Townhouse B-1, Jl. Patal Senayan 1, Jakarta Selatan 12210</t>
  </si>
  <si>
    <t>Gading Kirana 1 Blok B2Kirana Timur No 36 kelapa Gading</t>
  </si>
  <si>
    <t>Jalan Puri Bintaro 20 Blok PB 18 No. 21, Sawah Baru, Ciputat, Tangerang Selatan, Banten 15413</t>
  </si>
  <si>
    <t>Kelapa puan timur IV blok NC 4 no 1</t>
  </si>
  <si>
    <t>Villa Aurora Cemagi, Gg. Kubu Radit No.3, Cemagi, 
Kec. Mengwi, Kabupaten Badung, Bali 80351</t>
  </si>
  <si>
    <t>Villa Adi Sakti Dusun Kundalini Desa Umeanyar Sererit Buleleng Bali</t>
  </si>
  <si>
    <t>Perumahan Green Permata, Jl. Swadarma Raya, Kel. Ulujami, Kec. Pesanggrahan Selatan</t>
  </si>
  <si>
    <t>Jl. Perumahan Green Garden Blok L3 No.24, RT.8/RW.6, Kedoya Utara, Kec. Kb. Jeruk, Kota Jakarta Barat, Daerah Khusus Ibukota Jakarta 11520</t>
  </si>
  <si>
    <t>Jl Rajawali Selatan I/26, RT 004 RW 002,Gunung Sahari Utara, Sawah Besar, Jakarta Pusat</t>
  </si>
  <si>
    <t>JL Patra Kuningan VIII no D2 Jakarta Selatan</t>
  </si>
  <si>
    <t>Jl Kemang Dalam VII Blok H no. 14, RT 003 RW 003</t>
  </si>
  <si>
    <t>Proyek Legenda, Washinton D 2001 Legenda wisata Desa Nagrak Kecamatan Gunung Putri Kabupaten Bogor</t>
  </si>
  <si>
    <t>Garden Island 1 No. 28 BGM Pantai Indah Kapuk</t>
  </si>
  <si>
    <t>Jl. Agung Utara I Blok A No.28 RT 008 RW 008, Sunter Agung, Tanjung Priok, Jakarta Utara</t>
  </si>
  <si>
    <t>PIK Island Sonata SOB No.6, Jl. Pantai Indah Kapuk, Kamal Muara, 
Kec. Penjaringan, Daerah Khusus Ibukota Jakarta 14470</t>
  </si>
  <si>
    <t>Jl Pahlawan Samarinda</t>
  </si>
  <si>
    <t>Kota Wisata Cibubur, Cluster Miami, Blok SL No. 6, Ciangsana, 
Kec. Gunung Putri, Kabupaten Bogor, Jawa Barat 16968</t>
  </si>
  <si>
    <t>JL Gandaria 3 no. 3F keramat Pela, Kebayoran Baru Jakarta Selatan</t>
  </si>
  <si>
    <t>Jl. Kembang Permai 1, Blok i6 No.2, Puri Indah, Jakarta Barat</t>
  </si>
  <si>
    <t>JL Sedayu City Boulevard Raya Blok B no 19-20 kec Cakung Kota Jakarta Timur</t>
  </si>
  <si>
    <t>Green Lake City Ruko Fresh Market No.RFNA 001 Green Lake- Barat, 
RT.001/RW.002, Gondrong, Kec. Cipondoh, Kota Tangerang</t>
  </si>
  <si>
    <t>Jl. Suryopranoto No.1-9, RT.14/RW.8, Petojo Sel., Kecamatan Gambir, Kota Jakarta Pusat, Daerah Khusus Ibukota Jakarta 10160</t>
  </si>
  <si>
    <t>Jl. Simprug Garden VII No. 26, Jakarta Selatan, DKI Jakarta</t>
  </si>
  <si>
    <t>JL Kintamani 2 no 6 bukit gading villa kelapa gading</t>
  </si>
  <si>
    <t>Jl. Purnawarman No. 17 Jakarta
 Selatan, DKI Jakarta,</t>
  </si>
  <si>
    <t>Jl. Moh. Yusuf Raya No.39, Depok</t>
  </si>
  <si>
    <t>JL Puri Anjasmoro Blok i1-15 Semarang</t>
  </si>
  <si>
    <t>Jl. Brawijaya V No.47</t>
  </si>
  <si>
    <t xml:space="preserve">Jl Rajawali Selatan IV no.41 RT 006 rw 006, Gunung Sahari utara, Sawah Besar, Jakarta Pusat </t>
  </si>
  <si>
    <t>Ebony Golf 1 no 11 PIK, Jakarta Utara</t>
  </si>
  <si>
    <t>Taman Ratu Blok C5/18, RT003 RW013, Duri Kepa. 
Kebon Jeruk, Jakarta Barat.</t>
  </si>
  <si>
    <t>Jl. Sunan Giri No.26, Kebomas, Gresik (Dari perempatan sebelum 
Puskesmas atau kantor Kecamatan Kebomas)</t>
  </si>
  <si>
    <t>Jl. Parpostel No.55 Jatiasih, Bekasi</t>
  </si>
  <si>
    <t>JL Panglima Polim V nomor 15 jakarta Selatan</t>
  </si>
  <si>
    <t>Jl. Wuluh Blok 5 No.3A, Tomang, Jakarta Barat</t>
  </si>
  <si>
    <t>Greenwich Park, Cluster Sheffield B12 no.8, BSD City, Tangerang</t>
  </si>
  <si>
    <t>Jl. Alam Asri XII Blok Sm No.2, RT.2/RW.15, Pd. Pinang, Kec. Kby. Lama, Kota Jakarta Selatan, Daerah Khusus Ibukota Jakarta 12310
 pondok indah</t>
  </si>
  <si>
    <t>Jln. Taman Duta II no. 22 UG, Pondok Indah, Jakarta Selatan 12310</t>
  </si>
  <si>
    <t>Pluit permai dalam 2 no 16 RT 015 RW 04 Pluit penjaringan Jakarta utara</t>
  </si>
  <si>
    <t>JL,. Tanjung Anom no.15a , Bandung</t>
  </si>
  <si>
    <t>Jl. Walet Permai 4 NO.15 PIK RT/RW 012/006, Kel.Kapuk Muara, Kec.Penjaringan Jakarta Utara</t>
  </si>
  <si>
    <t>Vermont Parkland J2/5, BSD City,tangerang</t>
  </si>
  <si>
    <t>JI. Muara Baru Ujung Blok I Kav 1-10, jakarta utara 14440</t>
  </si>
  <si>
    <t>Jl. Rajawali Selatan 4 no. 20, Kelurahan Gunung Sahari Utara, Jakarta Pusat</t>
  </si>
  <si>
    <t>Jl Soekarno Hatta Grand Palace residence no C 12 kota pekanbaru</t>
  </si>
  <si>
    <t>jl kamboja 33, RT 003 RW 002, kel. JatiPulo, Kec. Palmerah, Jkarta Barat 11430</t>
  </si>
  <si>
    <t>Jl. Beton No. 1A, perum Pondok Jaya, Bintaro.</t>
  </si>
  <si>
    <t>Jl. Anggrek no. 54 Krajan Patokan, situbondo. Jawa timur. 
 Situbondo, Jawa Timur</t>
  </si>
  <si>
    <t>Jl. Cikopo Selatan No.77 RT01/RW03 Pasir Muncang, Megamendung, Bogor 16770</t>
  </si>
  <si>
    <t>Gg. Kelinci No.16A</t>
  </si>
  <si>
    <t>Jl. Serui no 41 Makassar, Sulawesi-Selatan</t>
  </si>
  <si>
    <t>jl. Kauripan no.25A, Banjarmasin, Kalimantan Selatan</t>
  </si>
  <si>
    <t>apostolic nunciature avenidad motael,lirio, vera cruz, dili, timor leste</t>
  </si>
  <si>
    <t>Batununggal Elok 2 no 15, Bandung</t>
  </si>
  <si>
    <t>Jl. Cisadaneno.31 RT003/ RW004, Cikini, menteng, Jakarta Pusat</t>
  </si>
  <si>
    <t>pakuwon city, san anthonio n.13 no.39, Surabaya.</t>
  </si>
  <si>
    <t>jl utan panjang lll no 5 RT 11 RW 07 Kemayoran, Jakarta Pusat</t>
  </si>
  <si>
    <t>Northern Park Evenue No.157, Sentul City</t>
  </si>
  <si>
    <t>Ruko Northridge business center blok B1 no.11, BSD, tangerang</t>
  </si>
  <si>
    <t>Jln Lanbau Rt.001 Rw.003, Kampung Lio Baru, Desa Sanja, Citeureup - Bogor</t>
  </si>
  <si>
    <t>jl layar permai 1 no 25 kapuk muara, kec. Penjaringan</t>
  </si>
  <si>
    <t>Senayan Golf Residence East Point Blok A-05</t>
  </si>
  <si>
    <t>Jalan Imam Bonjol 555 Denpasar, Bali</t>
  </si>
  <si>
    <t>Jl. Pangeran Diponegoro, RT.15/RW.5, Menteng, Kec. Menteng, Kota Jakarta Pusat, Daerah Khusus Ibukota Jakarta 14240</t>
  </si>
  <si>
    <t>Jl Anggrek Blok 62 No.6 RT007/RW010, Kel. Meruya Utara, Kec. Kembangan, Jakarta barat, DKI Jakarta</t>
  </si>
  <si>
    <t>Citra Grand blok H 2 no. 19, Jatikarya, Jatisampurna</t>
  </si>
  <si>
    <t>Jl. Raya Munggu, Perumahan Greenlot Residence Blok S-20 - S-26, Desa Munggu, Banjar Dukuh Pandean, Mengwi, Badung, Bali</t>
  </si>
  <si>
    <t>Jl. Moti No. 1 RT 004 RW 005, Cideng, Gambir, Jakarta 
 Pusat</t>
  </si>
  <si>
    <t>Summarecon Bogor City, Komplek Mahogany Island M1/11</t>
  </si>
  <si>
    <t>Cluster Simprug Village PIK2 no.50</t>
  </si>
  <si>
    <t>Land’s End PIK 2,</t>
  </si>
  <si>
    <t>Jl. Depan Terminal 23-25, Citeureup, Kec. Citeureup, kabupaten 
bogor, jawa barat 16811 Kabupaten Bogor, Jawa Barat 16811,</t>
  </si>
  <si>
    <t>Cluster Mozart Signature TMBB No. 86. Pantai Indah Kapuk</t>
  </si>
  <si>
    <t>Jln. Setraduta Kencana A1 no2 Bdg</t>
  </si>
  <si>
    <t>Villa Tolaram
 5GMG+9F6, Unnamed Road, Tulungrejo, Kec. Bumiaji, Kota Batu, Jawa Timur 65336</t>
  </si>
  <si>
    <t>Jl Menteng Raya no.64 (Kolase Kanisius)</t>
  </si>
  <si>
    <t>Taman Golf no 75, Lippo Karawaci</t>
  </si>
  <si>
    <t>Jl. Danau agung 11 blok E7 no 4 sunter</t>
  </si>
  <si>
    <t>Jl. Gama Setia Barat 1, Komplek Pelni Depok</t>
  </si>
  <si>
    <t>Jl. Golf ISland ORB 1 No.002, Pantai Indah Kapuk, Jakarta Utara</t>
  </si>
  <si>
    <t>Jl. Biak No.28, RT.3/RW.6, Cideng, Kecamatan Gambir, Kota Jakarta Pusat, Daerah Khusus Ibukota Jakarta 10150</t>
  </si>
  <si>
    <t>Pluit Mas Raya Blok P No. 16, RW.18, Pejagalan, Kec. Penjaringan, Jkt Utara</t>
  </si>
  <si>
    <t>Jl. Alamanda 3 E138, Cluster Alamanda, Rancamaya Golf
 Estate, Bogor Selatan</t>
  </si>
  <si>
    <t>Sentul city, KOMPLEK SIERA MADRE, JL CATELYA NO 5</t>
  </si>
  <si>
    <t xml:space="preserve">Umalas Bali </t>
  </si>
  <si>
    <t>JL Kelapa Puan Timur 1, blok NB-1, No. 24 dan 25, Kelapa Gading Permai</t>
  </si>
  <si>
    <t>Jl Agung tengah IV blok i 2 no 8 A-B, Sunter agung, Jakarta Utara</t>
  </si>
  <si>
    <t>Jl. Petojo Sabangan I no. 20, RT 004 RW 005, 
Petojo Selatan, Gambir, Jakarta Pusat</t>
  </si>
  <si>
    <t xml:space="preserve">Jalan Pramuka Komplek Green Pramuka No.1 , Banjarmasin </t>
  </si>
  <si>
    <t>Jl. Sutera Jingga IX /17 RT002/RW013 Kel. Pakualam Kec. Serpong Utara</t>
  </si>
  <si>
    <t>Jl Setra Duta Blok N no.2 RT 002 RW 014, Parongpong, Bandung Barat</t>
  </si>
  <si>
    <t>Taman surya 2 Blok R No 9, Sunrise Garden, Kebonjeruk, West Jakarta City</t>
  </si>
  <si>
    <t>cluster sapphire. Jln. Kintamani golf 8 no.50, pakulonan barat, kelapa dua, kab. Tangerang.</t>
  </si>
  <si>
    <t>Jl Wijaya Kusuma No.9, Jatipulo, Palmerah, Jakarta Barat</t>
  </si>
  <si>
    <t>Jl. Agung Perkasa XII Blok J 13 No 18</t>
  </si>
  <si>
    <t>Jl. Darmawangsa Raya No. 8 Jakarta Selatan. Titik map: Blume Orchid (Rumah Sebrangny)</t>
  </si>
  <si>
    <t>Jl Brawijaya III no 17, Kebayoran Baru, Jakarta Selatan</t>
  </si>
  <si>
    <t>Dusun Karang Anyar RT.05/03 No. 70 Desa Sukaluyu Kec. Telukjambe Timur Karawang 41361</t>
  </si>
  <si>
    <t>Cluster Chava BSD, Blok B5 No.9</t>
  </si>
  <si>
    <t>Cluster Mozart Selatan V No. 01 Gading Serpong</t>
  </si>
  <si>
    <t>Jl. Tiara Utara II No.32, Cihuni, Kec. Pagedangan, Kabupaten Tangerang, Banten 15332</t>
  </si>
  <si>
    <t>JL Pantai Indah Utara 3 Kav 17 no 50 (KOMPLEK LAYAR MEDITERANIA) jakarta Utara</t>
  </si>
  <si>
    <t>Jl. Pluit Putri I No.11, Jakarta Utara</t>
  </si>
  <si>
    <t>Vihara Setia Budi, Jl. Irian Barat No.26 Medan</t>
  </si>
  <si>
    <t>Jl Damai No.3 RT/RW 002/02 Kel Sukabumi Selatan, Kebun Jeruk, Jakarta Barat</t>
  </si>
  <si>
    <t>Jl Taman Ratu Indaha Block CC 1 No.18, Jakarta Barat</t>
  </si>
  <si>
    <t>Jl. Mega Kuningan Timur No.88 Kuningan, Jaksel</t>
  </si>
  <si>
    <t>Wisata Bukit Mas I/ A 17 Kel lidah wetan kec lakarsantri Surabaya</t>
  </si>
  <si>
    <t>Taman Resort Medieterania 29/3 PIK</t>
  </si>
  <si>
    <t>Jl. Melody Golf 1 No.27, PIK Golf Island, jakarta Utara</t>
  </si>
  <si>
    <t>Jl. Raya Ciputat Jombang no. 17, Tangerang, Banten</t>
  </si>
  <si>
    <t>Jl. Kramat Pela No. 211, Keramat Pela, kec. Kebayoran Baru, Jakarta Selatan</t>
  </si>
  <si>
    <t>Jl. Citra Dua Extension No.E.3, RT.7/RW.8, Pegadungan, 
Kec. Kalideres, Kota Jakarta Barat, Daerah Khusus Ibukota Jakarta 11830</t>
  </si>
  <si>
    <t>Jl. Niaga Hijau II No. 32 Jakarta Selatan</t>
  </si>
  <si>
    <t>Sunses Road, Bali ( baru insatall mar 2025)</t>
  </si>
  <si>
    <t>JL Bekasi Permai V Komplek Bekasi Permai Blok AH no.11 RT 004/Rw 015 kec. Bekasi timur . Bekasi Jaya Kota Bekasi</t>
  </si>
  <si>
    <t>Kosambi Baru Blok C Ext 1 No.1 Duri Kosambi, Cengkareng, Jakarta Barat 11750</t>
  </si>
  <si>
    <t>Jl. Kintamani 2 No. 30 RT 003 RW 007, Kelapa Gading  Barat, Jakarta</t>
  </si>
  <si>
    <t>Jl. Gajah no.18, Bandung</t>
  </si>
  <si>
    <t>Jl. Mutiara I no. 43, Permata Hijau, Jakarta Selatan</t>
  </si>
  <si>
    <t>Riverpark GF.1 No.16, Bintaro Jaya Sektor 8, Pondok Jaya, Pondok
 Aren, Tangerang Selatan</t>
  </si>
  <si>
    <t>De Park, Cluster DeCajuputi AD 3 No. 3, BSD, Tangerang</t>
  </si>
  <si>
    <t>Jl. Masjid Nur No.10, RT05/RW10, Grogol Utara, Kec. Kby. Lama, Kota Jakarta Selatan, Daerah Khusus Ibukota Jakarta 12210</t>
  </si>
  <si>
    <t>Taman Resort Mediterania blok Z3 no. 18. Kelurahan Kapuk Muara. Jakarta</t>
  </si>
  <si>
    <t>Jl. Istana Dieng Raya II No.20- 22 Bandulan, Malang</t>
  </si>
  <si>
    <t>PT Griya Selaras Pratama -Pondok Pinang-Klinik Rawamangun ( idhay)</t>
  </si>
  <si>
    <t>Perseroan Komanditer Primatio (CV) - samuel T pluit</t>
  </si>
  <si>
    <t>PT. Danatama Makmur Sekuritas ( NERRY SENAYAN )</t>
  </si>
  <si>
    <t>Stairlift (UNINSTALL)</t>
  </si>
  <si>
    <t>Sheet Berwarna Kuning Wajib Diisi dan Di update</t>
  </si>
  <si>
    <t>Untuk Sheet Tgl Maintenance untuk Kontrak</t>
  </si>
  <si>
    <t>1. Update Data Pada Kolom G sesuai tanggal Maintenance Jika Sudah Pada kolom H di Tulis "Done" Agar tanggal Pada Komom M dapat Terupdate</t>
  </si>
  <si>
    <t>2. Untuk Maintenance Ke 2 Bisa Di update Pada Kolom I dan pada Kolom J ditulis "Done" adar tanggal Pada Kolom M Terupdate</t>
  </si>
  <si>
    <t>3. Untuk Maiantenace ke 3 Bisa Di update pada Kolom K Dika Sudah Pada Kolom L Di tulis "Done" Agar Pada Kolom M Terupdate</t>
  </si>
  <si>
    <t>Sheet Data Garansi</t>
  </si>
  <si>
    <t>1. Di update Setiap Bulan dari Kolom B sd E Setiap Ada BAST</t>
  </si>
  <si>
    <t>2. lalu update Kolom G tanggal pada saat ingin mengecek agar data I dapat Terupdate Garansi atau tidaknya</t>
  </si>
  <si>
    <t>3. untuk Kolom F , H dan I Di Copy Paste Saja</t>
  </si>
  <si>
    <t>Data Counting Free</t>
  </si>
  <si>
    <t>1. Data Di Kolom B sd E Di Update Setiap Ada BAST Khusus untuk Customer Baru Install dan memiliki Free Maintenance</t>
  </si>
  <si>
    <t>2. Data Kolom G sd M Di update Setiap Ada Kunjungan</t>
  </si>
  <si>
    <t>3. Kolom H Diisi Angka 1 Setiap Kunjungan</t>
  </si>
  <si>
    <t>4. Kolom I Diisi kunjungan ke Berapa</t>
  </si>
  <si>
    <t>Data Counting Contrak</t>
  </si>
  <si>
    <t>1. Data B sd C diisi Ketika ada perjanjian Kontrak</t>
  </si>
  <si>
    <t>Tgl MC Free</t>
  </si>
  <si>
    <t>1. Kolom B hingga E Di update Setiap ada BAST</t>
  </si>
  <si>
    <t>2. Jika Kolom G sdh Dikunjungi pada Kolom H di update done agar Kolom m Terupdate tgl berikutnya</t>
  </si>
  <si>
    <t>13 juni 2025</t>
  </si>
  <si>
    <t>kalimantan tengah</t>
  </si>
  <si>
    <t>BAST</t>
  </si>
  <si>
    <t>SW114620</t>
  </si>
  <si>
    <t>Domo</t>
  </si>
  <si>
    <t>Service</t>
  </si>
  <si>
    <t>main 1</t>
  </si>
  <si>
    <t>gak mau</t>
  </si>
  <si>
    <t>service</t>
  </si>
  <si>
    <t>kanisus</t>
  </si>
  <si>
    <t>felix pik</t>
  </si>
  <si>
    <t>blm lunas</t>
  </si>
  <si>
    <t>ninik</t>
  </si>
  <si>
    <t>24/0607</t>
  </si>
  <si>
    <t>Joseph utamin (Vera)</t>
  </si>
  <si>
    <t>Robin Zulkarnain ( robin sentul )</t>
  </si>
  <si>
    <t>Hendra Suwardi</t>
  </si>
  <si>
    <t>Subagia Handaja</t>
  </si>
  <si>
    <t>24/0055</t>
  </si>
  <si>
    <t>24/0432</t>
  </si>
  <si>
    <t>SW113510</t>
  </si>
  <si>
    <t>Martin Budiman</t>
  </si>
  <si>
    <t>Fery Godzali</t>
  </si>
  <si>
    <t>Charly alam sutera</t>
  </si>
  <si>
    <t>Oen Malang</t>
  </si>
  <si>
    <t>PT Bintan lagoon resort</t>
  </si>
  <si>
    <t>Budhi Bekasi</t>
  </si>
  <si>
    <t>Left</t>
  </si>
  <si>
    <t>25/0238</t>
  </si>
  <si>
    <t>Indomo cabin with shaft</t>
  </si>
  <si>
    <t>2024/908</t>
  </si>
  <si>
    <t>SW14388</t>
  </si>
  <si>
    <t>SW112909</t>
  </si>
  <si>
    <t>Right</t>
  </si>
  <si>
    <t>Etty Totong</t>
  </si>
  <si>
    <t>SW107304</t>
  </si>
  <si>
    <t>Etin sumarni</t>
  </si>
  <si>
    <t>Rudy Kusmulyadi (Nancy )</t>
  </si>
  <si>
    <t>Indayati ( djohan pekanbaru )</t>
  </si>
  <si>
    <t>Andi Anzhar</t>
  </si>
  <si>
    <t xml:space="preserve">PT. Rukun sahabat senior </t>
  </si>
  <si>
    <t>24/0439</t>
  </si>
  <si>
    <t>SW114366</t>
  </si>
  <si>
    <t>PVE 37</t>
  </si>
  <si>
    <t>Grace Irawati</t>
  </si>
  <si>
    <t>Sofiani Iskandarsyah ( Ilman )</t>
  </si>
  <si>
    <t>Alice tanizar</t>
  </si>
  <si>
    <t>Villa Dewi Sri 1A</t>
  </si>
  <si>
    <t>Villa Dewi Sri 2A</t>
  </si>
  <si>
    <t xml:space="preserve">PT. Gracia Pelita Abadi ( Gerry ) </t>
  </si>
  <si>
    <t>25/0176</t>
  </si>
  <si>
    <t>25/0023</t>
  </si>
  <si>
    <t>SW115911</t>
  </si>
  <si>
    <t>SW115748</t>
  </si>
  <si>
    <t>Kuswendy Yasukin ( Nike atau gunawan )</t>
  </si>
  <si>
    <t>25/435</t>
  </si>
  <si>
    <t xml:space="preserve">Indomo cabin </t>
  </si>
  <si>
    <t>25/0242</t>
  </si>
  <si>
    <t>25/0240</t>
  </si>
  <si>
    <t>Edoadrus ( edo cipaku )</t>
  </si>
  <si>
    <t xml:space="preserve">Rika Pauzie </t>
  </si>
  <si>
    <t>Feisal</t>
  </si>
  <si>
    <t>Sean ( Anomali Caffe )</t>
  </si>
  <si>
    <t>Anil ( muskaan )</t>
  </si>
  <si>
    <t>Henru ( jandi Bandung )</t>
  </si>
  <si>
    <t>SW111196</t>
  </si>
  <si>
    <t>23/0594</t>
  </si>
  <si>
    <t>SW116554</t>
  </si>
  <si>
    <t>SW115882</t>
  </si>
  <si>
    <t>SW110472</t>
  </si>
  <si>
    <t xml:space="preserve">Suriani </t>
  </si>
  <si>
    <t>Right curve</t>
  </si>
  <si>
    <t>25/0499</t>
  </si>
  <si>
    <t>Aripin Pemangkat</t>
  </si>
  <si>
    <t>25/0239</t>
  </si>
  <si>
    <t>SW110698</t>
  </si>
  <si>
    <t>Azis</t>
  </si>
  <si>
    <t>Gracia Maria</t>
  </si>
  <si>
    <t>SW109407</t>
  </si>
  <si>
    <t>BSD</t>
  </si>
  <si>
    <t>Resort</t>
  </si>
  <si>
    <t>Nancy</t>
  </si>
  <si>
    <t>Lift Number</t>
  </si>
  <si>
    <t>Site Reference (Project Name - Client Name)</t>
  </si>
  <si>
    <t>Type</t>
  </si>
  <si>
    <t>Residential/ 
Commercial</t>
  </si>
  <si>
    <t>Indoor/Outdoor</t>
  </si>
  <si>
    <t>Stops</t>
  </si>
  <si>
    <t>Project Location</t>
  </si>
  <si>
    <t>Residential</t>
  </si>
  <si>
    <t>Indoor</t>
  </si>
  <si>
    <t>Komplek Imperial Gading Blok F2 no.21, Kelapa Gading, Jakarta Utara</t>
  </si>
  <si>
    <t>Commercial</t>
  </si>
  <si>
    <t>UD. Jawa Indah Jl. Panglima Batur No. 43-46 RT. 008, Pasar Pagi, Samarinda, Kal-Tim</t>
  </si>
  <si>
    <t>Iskandar</t>
  </si>
  <si>
    <t>Outdoor</t>
  </si>
  <si>
    <t>Ruko Mangga Dua Square Blok B 22-23. Jl Gunung Sahari Raya, Mangga Dua Selatan, Ancol, Kec. Pademangan, Jakarta Utara</t>
  </si>
  <si>
    <t>Howard Kasima</t>
  </si>
  <si>
    <t>Office</t>
  </si>
  <si>
    <t>Frans Andreas</t>
  </si>
  <si>
    <t>Fahmuddin Edy Hadi, Yogjakarta</t>
  </si>
  <si>
    <t>Palagan Huis. Yogyakarta Karang Moko, Sariharjo,
Kec. Ngaglik Sleman, Yogyakarta 55581</t>
  </si>
  <si>
    <t>CV Pije Peter Cheryl (dr Cissie)</t>
  </si>
  <si>
    <t>Herry Gunawan</t>
  </si>
  <si>
    <t>Mirza Budiman Diran</t>
  </si>
  <si>
    <t>Irawan Susanto</t>
  </si>
  <si>
    <t>21/0556</t>
  </si>
  <si>
    <t>Thio Margaret (Budi)</t>
  </si>
  <si>
    <t>Jalan Puri Botanical Residence Cluster Eugenia H1 No. 30. Jakarta Barat</t>
  </si>
  <si>
    <t>Esther Indrawati</t>
  </si>
  <si>
    <t>Jalan Lebak Raya III Utara Nomor 20, Kec. Tambaksari, Surabaya, Jawa Timur</t>
  </si>
  <si>
    <t>Suryani</t>
  </si>
  <si>
    <t>Jonatan Christie</t>
  </si>
  <si>
    <t>Erastus Sabdono</t>
  </si>
  <si>
    <t>Thakurdas Pursani W</t>
  </si>
  <si>
    <t>Jl. Danau Indah Barat I A/E 3/6 RT006/RW014. Kelurahan Sunter Jaya, Kec. Tanjung Priok</t>
  </si>
  <si>
    <t>Jenny Lie</t>
  </si>
  <si>
    <t>Taman Polonia I Nomor 48A, Kota Medan</t>
  </si>
  <si>
    <t>Farida Anwari</t>
  </si>
  <si>
    <t>Syamsuardi Alpat (Sudirman) / Desy Makassar</t>
  </si>
  <si>
    <t>Kusnaeny Mardjoeki (Dini), Surabaya</t>
  </si>
  <si>
    <t>Perumahan Dian Istana Cluster Moca Vrbana Blok G no. 7, Surabaya, Jawa Timur</t>
  </si>
  <si>
    <t>Doddi Yoshida</t>
  </si>
  <si>
    <t>Junly Kodradjaya, Surabaya</t>
  </si>
  <si>
    <t>Jl. Dian Istana Blok A3 No. 71. Wiyung, Surabaya, Jawa Timur</t>
  </si>
  <si>
    <t>Felix Claudius Djimin (Greysia/ PT Kreasi Bintang Anugerah)</t>
  </si>
  <si>
    <t>Andy Indrajaya, ST</t>
  </si>
  <si>
    <t>Perumahan Gading Serpong Cluster Bellano Due no 33, Jl. L'obelisco Due 
Curug, Tangerang</t>
  </si>
  <si>
    <t>Jico Maradona</t>
  </si>
  <si>
    <t>PT Duta Raya Cipta (Gulshan)</t>
  </si>
  <si>
    <t>Monica Irmawati Koswara</t>
  </si>
  <si>
    <t>Jl. Jalan Palm Merah I Blok BH Nomor 12. Bumi Seong Damai Sektor III. Tangerang</t>
  </si>
  <si>
    <t>Ary Indrajanto</t>
  </si>
  <si>
    <t>Suyendi</t>
  </si>
  <si>
    <t>Perumahan Nirvana Residences (block C3), Jl. Soekarno - Hatta, 
Delima, Tampan, Kota Pekanbaru, Riau, 28289</t>
  </si>
  <si>
    <t>M. Dodiek Tas'an Wartono</t>
  </si>
  <si>
    <t>Natalina Surjani .S</t>
  </si>
  <si>
    <t>Klinik KARA ESTHETIQUE. Rukan Golf Island Blok C No. 27, 
Pantai Indah Kapuk, Jakarta Utara</t>
  </si>
  <si>
    <t>Jl. Cipete IV no 3 RT02 RW04 Kel. Cipete Selatan, Kec. Cilandak</t>
  </si>
  <si>
    <t>Silvi Liswanda</t>
  </si>
  <si>
    <t>Suwanlia</t>
  </si>
  <si>
    <t>Jl Hadiah Utama 2G F6/1542, Jelambar, Jakarta Barat</t>
  </si>
  <si>
    <t>Sukirman Sutrisno</t>
  </si>
  <si>
    <t>Jl. Kekeluargaan II Blok L. 3 No.22, Jakarta Barat</t>
  </si>
  <si>
    <t>Johan Suhalim</t>
  </si>
  <si>
    <t>Abednego Wibowo (Hartono/Ano)</t>
  </si>
  <si>
    <t>Peter Douglas Simpson</t>
  </si>
  <si>
    <t>Grace Sintjie Soegiarto</t>
  </si>
  <si>
    <t>Jessica Ronaldy Tjahja (Sumitra)</t>
  </si>
  <si>
    <t>Linda Tjahja (Rivai)</t>
  </si>
  <si>
    <t>Leonard Wilson Lay</t>
  </si>
  <si>
    <t>Ruko Emerald Blok UA 23. Jl Boulevard Selatan Summarecon Bekasi 
RT 004 RW 011, Margo Mulya. Bekasi</t>
  </si>
  <si>
    <t>Aisyah Zaelani (Nur)</t>
  </si>
  <si>
    <t>Jalan Kweni no. 1, Radio Dalam, Jakarta Selatan</t>
  </si>
  <si>
    <t>Edward</t>
  </si>
  <si>
    <t>Handoko Sutjitro Surabaya</t>
  </si>
  <si>
    <t>Villa bukit regensi blok PD7 no 20, pakuwon, Surabaya, Jawa Timur</t>
  </si>
  <si>
    <t>Sugiono</t>
  </si>
  <si>
    <t>Djohan Surya Adinata</t>
  </si>
  <si>
    <t>jln Bukit Idaman 77, Bandung. Jl. Cipaku Indah XI Cidadap, Bandung City, West Java</t>
  </si>
  <si>
    <t>Taruna Wirano Lukman (Rully)</t>
  </si>
  <si>
    <t>Linda Irawati, Surabaya</t>
  </si>
  <si>
    <t>Budi Surjono - Surabaya</t>
  </si>
  <si>
    <t>Perumahan Graha Famili Blok O No. 319A. Surabaya, Jawa Timur</t>
  </si>
  <si>
    <t>Darminto (Eko) / Felicia Nata</t>
  </si>
  <si>
    <t>Jl. Boulevard Utara no. 106 Graha Padma, Semarang</t>
  </si>
  <si>
    <t>VILA LIMA KAYU 
Jl Wilis Desa Cembor RT. 1 / RW. 1
Kecamatan Pacet
Kabupaten Mojokerto</t>
  </si>
  <si>
    <t>Lucas Tetardy</t>
  </si>
  <si>
    <t>Anjar Reksa Permana (Ghani)</t>
  </si>
  <si>
    <t>Machzum Baisa</t>
  </si>
  <si>
    <t>Riswandi (Heri Riswandi)-Kalimantan Selatan</t>
  </si>
  <si>
    <t>Jl K.H. Mansyur no 2 RT 13 Kelurahan Angsau, kec. Pelaihari kab. Tanah Laut Kalimantan Selatan</t>
  </si>
  <si>
    <t>Titik Lestari, Bali</t>
  </si>
  <si>
    <t>Sofian Atmadja Widjaja</t>
  </si>
  <si>
    <t>Finiantri Sari MSC (Rieke)</t>
  </si>
  <si>
    <t>22/385</t>
  </si>
  <si>
    <t>Yudi Prawira</t>
  </si>
  <si>
    <t>Le Agus Felix - Felix PIK</t>
  </si>
  <si>
    <t>22/972</t>
  </si>
  <si>
    <t>Naresh Sunter</t>
  </si>
  <si>
    <t>Jl. Agung Tengah 2 No i5/9A</t>
  </si>
  <si>
    <t>Lucian Lewis</t>
  </si>
  <si>
    <t>Johannes Dhartanto Wibowo (Erman)</t>
  </si>
  <si>
    <t>Aristoteles Utara No.27 Gading Serpong</t>
  </si>
  <si>
    <t>Susanti Lukman</t>
  </si>
  <si>
    <t>Rajulur Rakhman</t>
  </si>
  <si>
    <t>Gedung Graha BUN. Jl. Ciputat Raya No. 7 RT 001. Kebayoran Lama. Jakarta Selatan 12310</t>
  </si>
  <si>
    <t>Buyung, Surabaya</t>
  </si>
  <si>
    <t>Graha Family Blok W No. 9, Pradah Kali Kendal, Dukuh Pakis, Surabaya 60277, Jawa Timur</t>
  </si>
  <si>
    <t>Stefanus Yulianto (Evan Malang)</t>
  </si>
  <si>
    <t>Lesly Irvan</t>
  </si>
  <si>
    <t>Jl. Buana Biru Besar blok J-1/3 A, RT 008 RW 009. Kembangan Utara. Jakarta Barat</t>
  </si>
  <si>
    <t>Winarizal</t>
  </si>
  <si>
    <t>2022/0302</t>
  </si>
  <si>
    <t>PT. Citra Sembilansatu ( Sahata Saolan Sirait) / Roy Sirait / Riris</t>
  </si>
  <si>
    <t>Jl. Kelapa Lilin X Blok NI 8 no. 21, RT 030 RW 012, Kel. Pegangsaan Dua, Kec. Kelapa Gading</t>
  </si>
  <si>
    <t>PT. Anugerah Aneka Industri (Surja PIK)</t>
  </si>
  <si>
    <t>Bertha PT Andal Prima Adhitama Perkasa</t>
  </si>
  <si>
    <t>Ronny Cahyono (PT Usaha Logistik), Surabaya (Rudy)</t>
  </si>
  <si>
    <t>Jl Dukuh Kupang XXI No.32 Dukuh Pakis Surabaya, Jawa Timur</t>
  </si>
  <si>
    <t>22/322</t>
  </si>
  <si>
    <t>Heri Hariawan</t>
  </si>
  <si>
    <t>Jl. Budisari 1 No.2 RT.03 RW.007, Hegarmanah, Cidadap, Bandung.</t>
  </si>
  <si>
    <t>Jl Tanjung Duren Utara V No. 244, Grogol Petamburan Jakarta Barat</t>
  </si>
  <si>
    <t>Belum order</t>
  </si>
  <si>
    <t>Stefano Lorenzini</t>
  </si>
  <si>
    <t>Jl. Timbul No. 55. Jagakarsa. Jakarta Selatan</t>
  </si>
  <si>
    <t>PT. Samudra Wiwaca Kusuma ( Indah Cipayung)</t>
  </si>
  <si>
    <t>Cilangkap Residence, Jl Raya Setu 22A</t>
  </si>
  <si>
    <t>Henny Medan</t>
  </si>
  <si>
    <t>Givency One Blok J6, Medan</t>
  </si>
  <si>
    <t>Hendra Surjaputra</t>
  </si>
  <si>
    <t>Dharmahusada Indah I Blok M-175 Surabaya Jawa Timur</t>
  </si>
  <si>
    <t>Charly Sjaiful</t>
  </si>
  <si>
    <t>Indomo Shaft - Indoor</t>
  </si>
  <si>
    <t>Sutera Jingga 1 No. 3, Alam Sutera, Tangerang</t>
  </si>
  <si>
    <t>PT Metrindo (Silvia)</t>
  </si>
  <si>
    <t>Flex</t>
  </si>
  <si>
    <t>Jln Cipto Mangunkusumo no 85 sebelahnya dealer Honda</t>
  </si>
  <si>
    <t>Pramudya Winarta (PT Ritme Indah)</t>
  </si>
  <si>
    <t>2022/856</t>
  </si>
  <si>
    <t>Peter Chandra-Medan</t>
  </si>
  <si>
    <t>Villa Polonia Garden No.8 P Komplek CBD Polonia, Medan</t>
  </si>
  <si>
    <t>Harry Yusuf</t>
  </si>
  <si>
    <t>Ricky Raymond Tjhie</t>
  </si>
  <si>
    <t>Alexander Tandra</t>
  </si>
  <si>
    <t>Perumahan Springhill tahap 1 blok D7, Jl. Golf View Blok GV No. A5, Kemayoran, Jakarta Utara</t>
  </si>
  <si>
    <t>Casa Grande Blok Barcelona Kav 405, Ring Road Utara, Maguwoharjo, Depok-Sleman, DI Yogyakarta 55282</t>
  </si>
  <si>
    <t>PT. Griya Trada (Elias Hariwondo)-Jl. Bangka</t>
  </si>
  <si>
    <t>Domoflex 2 - Indoor</t>
  </si>
  <si>
    <t>Jl Bangka VIII A no.11A, RT.8/RW.11, Pela Mampang, Mampang Prapatan, South Jakarta City, Jakarta</t>
  </si>
  <si>
    <t>Yanti Susanti</t>
  </si>
  <si>
    <t>Suparli</t>
  </si>
  <si>
    <t>PT. Harimas Tunggal Perkasa (Haryanto Vimala Hills)</t>
  </si>
  <si>
    <t>Domoflex 2 - Outdoor</t>
  </si>
  <si>
    <t>Perumahan Vila Permata Gading Blok B1 No.18, Kelapa Gading, Tugu Selatan, Koja, Jakarta Utara, Jakarta 14260</t>
  </si>
  <si>
    <t>PT. Gemilang Abadi Santoso ( Unit1 ) - Terminal Mangkang</t>
  </si>
  <si>
    <t>PT. Gemilang Abadi Santoso ( Unit2 ) - Terminal Mangkang</t>
  </si>
  <si>
    <t>Jl. Turi I no.12, Kebayoran Baru Jakarta Selatan</t>
  </si>
  <si>
    <t>Mr. Anthony Prayogo</t>
  </si>
  <si>
    <t>Dian Istana Blok C9/12, Wiyung, Surabaya</t>
  </si>
  <si>
    <t>Demo Lift Showroom Kreativ</t>
  </si>
  <si>
    <t>Central Park Ahmad Yani Blok A1B,Ketintang, Surabaya, Jawa Timur</t>
  </si>
  <si>
    <t>Taman Puspa Raya Blok C6/15A, Citraland, Surabaya, Jawa Timur</t>
  </si>
  <si>
    <t>PT Sambas Mineral Mining / Dipo PVE</t>
  </si>
  <si>
    <t>PT Handal Selaras Maternal- Klinik KMNC Greenlake</t>
  </si>
  <si>
    <t>Taufik Hidayat, Palembang</t>
  </si>
  <si>
    <t>Jalan Krakatau No. 837 RT 012 RW 005, Kel. 17 Ilir, Kec. Ilir Timur, 
Kota Palembang</t>
  </si>
  <si>
    <t>CV Rahmie Group, Gresik / Makhfudli</t>
  </si>
  <si>
    <t>Jl. Sunan Giri No.26, Kebomas, Gresik, Jawa Timur (Dari perempatan sebelum 
Puskesmas atau kantor Kecamatan Kebomas)</t>
  </si>
  <si>
    <t>Dharmahusada Mas B-125, Mulyorejo, Surabaya, Jawa Timur</t>
  </si>
  <si>
    <t>Mohammad Aditya Putra - Eddy Sutisna / Eddy Jatibening</t>
  </si>
  <si>
    <t>Jl. Arapaima No. AT 27 Mediterania Regency, Cikunir, Jaka Mulya, Bekasi Selatan</t>
  </si>
  <si>
    <t>Ike Liemawa</t>
  </si>
  <si>
    <t>Bukit Gading Mediterania Blok BI No.6, Kelapa Gading, Jakarta utara</t>
  </si>
  <si>
    <t>Budi Darmawan, Surabaya</t>
  </si>
  <si>
    <t>Puri Galaxy Lotus Garden No. 607, Surabaya Timur, Jawa Timur</t>
  </si>
  <si>
    <t>Hans Jurgen</t>
  </si>
  <si>
    <t>Bintang Jupiter - MOI Klp Gading</t>
  </si>
  <si>
    <t>Ahjiannor, Bupati Kal Teng , Barito</t>
  </si>
  <si>
    <t>PT. Bintang Surya Sejati Sukses/ Budi / Vincent</t>
  </si>
  <si>
    <t>Perseroan Komanditer Primatio - Samuel Pluit</t>
  </si>
  <si>
    <t>Martien Budiman</t>
  </si>
  <si>
    <t>Jl. Tiara 2 No.2, Komplek The Tiara Pondok Hijau Golf, Gading Serpong</t>
  </si>
  <si>
    <t>PT. Danatama Makmur Sekuritas - Nerry Senayan</t>
  </si>
  <si>
    <t>Jl. Kaimun Jaya No.17, RT.10/RW.4, Cilandak Bar., Kec. Cilandak, Kota Jakarta Selatan, Daerah Khusus Ibukota Jakarta 12430</t>
  </si>
  <si>
    <t>FRANSNICO Bandung</t>
  </si>
  <si>
    <t xml:space="preserve">Jl rambut kencana wetan no 25, Cluster Rambut Kasih, Kota Baru Parahyangan, Bandung
</t>
  </si>
  <si>
    <t>PT. Graha Artha Putra (Elizabeth)</t>
  </si>
  <si>
    <t>Pantai Indah Kapuk 2 Palm Spring 1 No.28, DKI Jakarta</t>
  </si>
  <si>
    <t>Jl. Sutan Syahrir No.39A , Menteng Jakarta Pusat</t>
  </si>
  <si>
    <t>Jl Rajawali Selatan I/26, RT004 RW002, Gunung Sahari Utara</t>
  </si>
  <si>
    <t>PT Rukun Sahabat Senior (Herman Kwik)</t>
  </si>
  <si>
    <t>25/0375</t>
  </si>
  <si>
    <t>Budiyanto (Kelapa Gading)</t>
  </si>
  <si>
    <t>Jl. Janur Hijau 7 No. 1A, Kelapa Gading</t>
  </si>
  <si>
    <t>Sunses Road, Bali</t>
  </si>
  <si>
    <t>DRA. ARDINA SAFITRI - Audric</t>
  </si>
  <si>
    <t>Inge Ineke Pieloor</t>
  </si>
  <si>
    <t>Taman Kebon Jeruk I7/21, Srengseng, Kembangan, Jakarta Barat</t>
  </si>
  <si>
    <t>PT Duta Sarana Perkasa- Philips / Irawan</t>
  </si>
  <si>
    <t>Jl Mediterania Boulevard no. 123</t>
  </si>
  <si>
    <t>TH H Handayani Kiroyan - Janny Kiroyan Domo2</t>
  </si>
  <si>
    <t>Lionhart Group (Cambodia) Company Limited</t>
  </si>
  <si>
    <t>Dian Putri / Puput PVE</t>
  </si>
  <si>
    <t>Mulya Darma Wangsa (Awang - Cempaka Putih)</t>
  </si>
  <si>
    <t>25/0541</t>
  </si>
  <si>
    <t>Sunarto Rochili - Richard PIK</t>
  </si>
  <si>
    <t>Jl Pinisi Permai 4 no 1</t>
  </si>
  <si>
    <t>Edoardus Ardianto</t>
  </si>
  <si>
    <t>Jl. Cipaku I No.21 &amp; 23, RT.5/RW.4, Petogogan, Kec. Kby. Baru, Kota Jakarta Selatan, Daerah Khusus Ibukota Jakarta 12170</t>
  </si>
  <si>
    <t>PT. Sumbersolusindo Hitech (Bpk Hardi - Solo)</t>
  </si>
  <si>
    <t>Curve</t>
  </si>
  <si>
    <t>Gang Aru 3 no 1Rt1 Rw 4 kel. TegalHarjo kec. Jrebes Surakarta Jawa Tengah
(Panti Eka Dharma Anugrah)</t>
  </si>
  <si>
    <t>Belum Order</t>
  </si>
  <si>
    <t>Yuanita Pangestu / Ferry JGC</t>
  </si>
  <si>
    <t>Jakarta Garden City
Cluster D’Banyan, Jl. D’Banyan 1 Kavling nomor 3.
Kel. Cakung Timur, Kec. Cakung.
Kota Jakarta Timur - 13910</t>
  </si>
  <si>
    <t>Green Garden Blok L3 no 24 Kedoya Utara Jakarta Barat</t>
  </si>
  <si>
    <t>Villa Tolaram
5GMG+9F6, Unnamed Road, Tulungrejo, Kec. Bumiaji, Kota Batu, Jawa Timur 65336</t>
  </si>
  <si>
    <t>SW105607</t>
  </si>
  <si>
    <t>Skydance Land's End PIK</t>
  </si>
  <si>
    <t>Gg. Pulau 83 , Kerobokan, Kec. Kuta Utara, Kabupaten Badung, Bali 80361</t>
  </si>
  <si>
    <t>CV Lautan Berkat Kontruksi-Ms Lisiani-Banyuwangi</t>
  </si>
  <si>
    <t>Gajah Mada 203 Banyuwangi</t>
  </si>
  <si>
    <t>SW115577</t>
  </si>
  <si>
    <t>Awie Medan-Suwandi</t>
  </si>
  <si>
    <t>Komplek Givency one Blok J01 JL Gaperta Ujung</t>
  </si>
  <si>
    <t>PT Primaperkasa Intiswadaya / Prajogo</t>
  </si>
  <si>
    <t>Curve Right</t>
  </si>
  <si>
    <t>Jl. Alamanda 3 E138, Cluster Alamanda, Rancamaya Golf
Estate, Bogor Selatan</t>
  </si>
  <si>
    <t>Jl. Purnawarman No. 17 Jakarta Selatan, DKI Jakarta</t>
  </si>
  <si>
    <t>Jl Rajawali Selatan IV no.41 RT 006 rw 006, Gunung Sahari utara, Sawah Besar, Jakarta Pusat</t>
  </si>
  <si>
    <t>Jaman / Ferry Citra Garden</t>
  </si>
  <si>
    <t>Jennifer (PT Karya Anugerah) - Merci Clinic</t>
  </si>
  <si>
    <t>PT. Prasetya Mulya Abadi - Pak Setiadi</t>
  </si>
  <si>
    <t>Taman Ratu Blok C5/18, RT003 RW013, Duri Kepa. Kebon Jeruk, Jakarta Barat.</t>
  </si>
  <si>
    <t>PT Kuala Pangan - Arno Bogor</t>
  </si>
  <si>
    <t>Jl. Pajajaran Indah II No.4, RT.01/RW.11, Baranangsiang, Kec. Bogor Tim., Kota Bogor, Jawa Barat 16143</t>
  </si>
  <si>
    <t>Andi Azhar Cakra</t>
  </si>
  <si>
    <t>Admiranti Residence Blok A/31 Jl. Fatmawati Raya N, Pondok Labu, Cilandak</t>
  </si>
  <si>
    <t>Jorge Serrano - Unit instalasi di Vatican Church</t>
  </si>
  <si>
    <t>Embaixada da Santa Sé (Vaticano) Apostolic nunciature avenidad motael,lirio, vera cruz, dili, timor leste</t>
  </si>
  <si>
    <t>jl. Iskandar, RT 20, Kelurahan madurejo, arut selatan, kalimantan tengah</t>
  </si>
  <si>
    <t>Jl. Alam Asri XII Blok Sm No.2, RT.2/RW.15, Pd. Pinang, Kec. Kby. Lama, Kota Jakarta Selatan, Daerah Khusus Ibukota Jakarta 12310 pondok indah</t>
  </si>
  <si>
    <t>Robin Zulkarnain</t>
  </si>
  <si>
    <t>Jalan Situ Bandung Golf No. 85 Taman Parahyangan Golf Sentul City, Bogor, Jawa Barat</t>
  </si>
  <si>
    <t>Sri Ayu Lestari - Ayu Banjarmasin</t>
  </si>
  <si>
    <t>Jalan Pramuka Komplek Green Pramuka No.1 , Banjarmasin</t>
  </si>
  <si>
    <t>UU Sutrisno - Bandung</t>
  </si>
  <si>
    <t>YESAYA MALINO - Situbondo</t>
  </si>
  <si>
    <t>Jl. Anggrek no. 54 Krajan Patokan, situbondo. Jawa timur. Situbondo, Jawa Timur</t>
  </si>
  <si>
    <t>Janne Idris - Domo2</t>
  </si>
  <si>
    <t>Pakuwon city, san anthonio n.13 no.39, Surabaya, Jawa Timur</t>
  </si>
  <si>
    <t>Jl Hegarmanah No. 30, RT. 006 RW 002, Hegarmanah Cidadap</t>
  </si>
  <si>
    <t>Rudy Kusmulyadi (Nancy Kelapa Gading)</t>
  </si>
  <si>
    <t>Jl Janur Elok 9 blok QG 7 no.10, Kelapa Gading</t>
  </si>
  <si>
    <t>Riverpark GF.1 No.16, Bintaro Jaya Sektor 8, Pondok Jaya, Pondok Aren, Tangerang Selatan</t>
  </si>
  <si>
    <t>Jl. Moti No. 1 RT 004 RW 005, Cideng, Gambir, Jakarta Pusat</t>
  </si>
  <si>
    <t>Gang anggur, Jl Brawijaya III No17 Jakarta Selatan</t>
  </si>
  <si>
    <t>Jl. Pangeran Diponegoro no.33 , RT.15/RW.5, Menteng, Kec. Menteng, Kota Jakarta Pusat, Daerah Khusus Ibukota Jakarta 14240
Sebelah kiri DPP Partai PERINDO, Pagar warna hitam</t>
  </si>
  <si>
    <t>PT Hurama Anugerah Berjaya - Robin Pluit</t>
  </si>
  <si>
    <t>Pluit Mas Raya Blok K No.5, RW.18, Pejagalan, Kec. Penjaringan, Jkt Utara</t>
  </si>
  <si>
    <t>PT Hurama Anugerah Berjaya - Vonny Pluit</t>
  </si>
  <si>
    <t>Pluit Mas Raya Blok P No. 16, RW.18, Pejagalan, Kec. Penjaringan, Jkt Utara</t>
  </si>
  <si>
    <t>R. Susy Nurhayati - Cirebon</t>
  </si>
  <si>
    <t>Jl Saleh no.76, Kota Cirebon</t>
  </si>
  <si>
    <t>Hasun Lokito- Vihara Medan</t>
  </si>
  <si>
    <t>Jl. Irian Barat No.6d, Gg. Buntu, Kec. Medan Tim., Kota Medan, Sumatera Utara 20212</t>
  </si>
  <si>
    <t>25/0740</t>
  </si>
  <si>
    <t>PT PANEN BERKAT PROPERTINDO (HANDOKO BSD)</t>
  </si>
  <si>
    <t>Eminent Cluster ilustria Blok C9 no.9 BSD city, Depan Quantis sport club</t>
  </si>
  <si>
    <t>SW108711</t>
  </si>
  <si>
    <t>Urban Art (Junita-Chandra)</t>
  </si>
  <si>
    <t>Jl Rawa Domba No 09-08 Durensawit Jakarta Timur</t>
  </si>
  <si>
    <t>PT. Bima Asri Intermitra - Lidia Bekasi</t>
  </si>
  <si>
    <t>Waterspring grand wisata blok BD 9 no 07</t>
  </si>
  <si>
    <t>Untung Basuki-Maria - Semarang</t>
  </si>
  <si>
    <t>Permata putih G 100 A Semarang</t>
  </si>
  <si>
    <t>Dr. Pengky Pranata - Yulia Sentul</t>
  </si>
  <si>
    <t>Komplek siera madre Jl Catelya No 5 Sentul City</t>
  </si>
  <si>
    <t>Puri Galaxy Lotus Garden No. LG 607 dan No. LG
606 Surabaya, Jawa Timur</t>
  </si>
  <si>
    <t>Morgan Arisona</t>
  </si>
  <si>
    <t>The Spring Cluster Scarlet, Scarlet Timur 1 No 21 Gading Serpong Pagedangan</t>
  </si>
  <si>
    <t>Jl Agung Tengah IV Blok I 2 No8 A-B Sunter Agung Jakarta Utara</t>
  </si>
  <si>
    <t>Budi Nuvrizal / Budi Vania</t>
  </si>
  <si>
    <t>Jl Damai No 3 RT 002 RW 02 Sukabumi Selatan Kebon Jeruk Jakarta Barat</t>
  </si>
  <si>
    <t>Jl Sutera Jingga IX/17, RT 002 RW 013 Pakualam, Serpong Utara, Kota Tanggerang Selatan</t>
  </si>
  <si>
    <t>PT. TURANGGA KERTAKENCANA-Inne</t>
  </si>
  <si>
    <t>Kemanggisan Utama IV No 20 Jakarta Barat</t>
  </si>
  <si>
    <t>PVE/INDN/007/24-25</t>
  </si>
  <si>
    <t>Eastland Development / Winston / Anton</t>
  </si>
  <si>
    <t>Jl Denpasar Raya No E2 RT01 RW02 Kuningan Timur Kec Setiabudi Jakarta Selatan</t>
  </si>
  <si>
    <t>PT CERIA NUGRAHA ADITAMA - Kolaka</t>
  </si>
  <si>
    <t>Jl Poros Kolaka Kantor PT Ceria Nugraha Indotama Samaenre</t>
  </si>
  <si>
    <t>Yay Budi Siswa Mr. Pater R.B. Leonardus Evert Bambang Winandoko, SJ - Gereja Kanisius</t>
  </si>
  <si>
    <t>Jl Menteng Raya No64 Jakarta Pusat</t>
  </si>
  <si>
    <t>Mr. Oendarno Sinatra</t>
  </si>
  <si>
    <t>Villa Puncak Tidar L 27 Malang</t>
  </si>
  <si>
    <t>Masjid Nurul Amal Jl. Gama Setia Barat 1, Komplek Pelni Depok</t>
  </si>
  <si>
    <t>Jl. Pamulang Permai 1 No.1-3 Blok D3, Pamulang Bar., Kec. Pamulang, Kota Tangerang Selatan, Banten 15417</t>
  </si>
  <si>
    <t>Aspal Polimer Emulsindo - Ibu Nisa Lebak Bulus</t>
  </si>
  <si>
    <t>Jalan pertanian raya kavling DPRD No 51</t>
  </si>
  <si>
    <t>Dusun Karang Anyar RT.05/03 No. 70 Desa Sukaluyu Kec. Telukjambe Timur Karawang 41361</t>
  </si>
  <si>
    <t>Jln. Kramat Sentiong No 133 RT 02 RW 05, kramat, senen, Jak Pus</t>
  </si>
  <si>
    <t>Jl. Minyak II, No.1 Duren Tiga Pancoran jakarta selatan</t>
  </si>
  <si>
    <t>KSO ADHI-CEC - IKN 1</t>
  </si>
  <si>
    <t>Pembangunan Rumah Tapak Jabatan Menteri di KIPP IKN Kawasan Inti Pusat Pemerintahan Ibu Kota Negara</t>
  </si>
  <si>
    <t>Jl Setra Duta Blok N no.2 RT 002 RW 014, Parongpong, Bandung Barat</t>
  </si>
  <si>
    <t>VERA NAULI UTAMIN</t>
  </si>
  <si>
    <t>Cluster Saphire KG 12 no 2, Gading Serpong</t>
  </si>
  <si>
    <t>PT Utama Sinergi Persada / Heryanto Surabaya</t>
  </si>
  <si>
    <t>Kertajaya Indah VII Blok G/223, Surabaya, Jawa Timur</t>
  </si>
  <si>
    <t>Jl. Danau agung 11 blok E7 no 4 sunter</t>
  </si>
  <si>
    <t>JERRY TANDYA</t>
  </si>
  <si>
    <t>Taman Golf no 75 lippo karawaci</t>
  </si>
  <si>
    <t>Mellyanthy-Budiyanto Intercon</t>
  </si>
  <si>
    <t>Taman Kebon Jeruk D3 no 7&amp;8 RT004/009, Srengseng, Kembangan Jakarta Barat</t>
  </si>
  <si>
    <t>Jalan Tanah Pasir Mas Blok B No.1 RT003/007 Jakarta Utara, Penjaringan</t>
  </si>
  <si>
    <t>Jl.Dharmawangsa Raya No.8, Jakarta Selatan</t>
  </si>
  <si>
    <t>SW110295</t>
  </si>
  <si>
    <t>Andy Santoso</t>
  </si>
  <si>
    <t>Muara Karang blok G 6 Timur no. 46</t>
  </si>
  <si>
    <t>25/0435</t>
  </si>
  <si>
    <t>GRACIA PELITA ABADI-Juan Carlos</t>
  </si>
  <si>
    <t>Perumahan Mutiara Sanggraha Blok K10 No. 19, Cakung, Pulo Gebang, Jakarta Timur</t>
  </si>
  <si>
    <t>Jl. Niaga Hijau II No.32, Jakarta Selatan</t>
  </si>
  <si>
    <t>PT. Hatsonsurya Electric (Hariyanto)- Natalina Surjana</t>
  </si>
  <si>
    <t>Dharmahusada Indah I Blok L 172 Surabaya Jawa Timur</t>
  </si>
  <si>
    <t>SW111263</t>
  </si>
  <si>
    <t>SW109667</t>
  </si>
  <si>
    <t>Jl. Pluit Putri I No. 11</t>
  </si>
  <si>
    <t>PT Fukuyama Genki Indonesia-Jason</t>
  </si>
  <si>
    <t>Jl Pulau Putri I Blok B-22 Jakarta Barat</t>
  </si>
  <si>
    <t>Gracia Maria Widjajanti H</t>
  </si>
  <si>
    <t>Cluster Welton blok A1 No 06, BSD City, Tanggerang</t>
  </si>
  <si>
    <t>SW110684</t>
  </si>
  <si>
    <t>Cluster Chava BSD, blok B5 no 9</t>
  </si>
  <si>
    <t>PT. Gagah Putera Satria - Pak Dharma</t>
  </si>
  <si>
    <t>Jl Wijaya Kusuma No.9, Jatipulo, Palmerah, Jakata Barat</t>
  </si>
  <si>
    <t>Aripin Lie-Pontianak</t>
  </si>
  <si>
    <t>Jl Gugah Sejahtera No.08, Pemangkat, Kalimantan Barat</t>
  </si>
  <si>
    <t>Jalan taman ratu indah blok CC1 no 18</t>
  </si>
  <si>
    <t>Rukan Artha Gading Niaga Blok F No.10 Jl. Boulevard Artha Gading, Kelapa Gading Barat, Kelapa Gading, Kota Adm. Jakarta Utara, DKI Jakarta</t>
  </si>
  <si>
    <t>PT Shape Up Indonesia- Ibu Lani MOI</t>
  </si>
  <si>
    <t>Mall Of In Indonesia, Italian Walk Jl. Blvd Bar. Raya Blok D No.23, 24, West Kelapa Gading, Kelapa Gading, North Jakarta City</t>
  </si>
  <si>
    <t>25/0693</t>
  </si>
  <si>
    <t>Adam Habibie</t>
  </si>
  <si>
    <t>Bukit Golf Internasional Blok GC6 no 03, Citraland Surabaya, Jawa Timur</t>
  </si>
  <si>
    <t>Zakaria - Sby</t>
  </si>
  <si>
    <t>Jl Rungkut Asri Timur VI No. 10 Kec Rungkut, Kota Surabaya, Jawa Timur</t>
  </si>
  <si>
    <t>Alfan Koshin / Suriani</t>
  </si>
  <si>
    <t>Taman Aries Blok G2 No12A</t>
  </si>
  <si>
    <t>Janni BSD - Swift Pro</t>
  </si>
  <si>
    <t>Jl Tiara II No 32 BSD</t>
  </si>
  <si>
    <t>PT Malcolm Indonesia - Kebumen Menteng</t>
  </si>
  <si>
    <t>Jalan Kebumen No. 3, RT.3/RW.4, Menteng, Jakarta 1031</t>
  </si>
  <si>
    <t>Jl Kintamani 2 no.30 Rt 003 Rw 007 Kelapa Gading Barat Kelapa Gading DKI Jakarta</t>
  </si>
  <si>
    <t>Gunawan Priatna - Ninik Stairlift</t>
  </si>
  <si>
    <t>Jl Kembang Indah V Blok G5 No. 37 Rt.006/006, Kel. Kembangan Selatan Kec,. Kembangan Jakarta</t>
  </si>
  <si>
    <t>Dr Julianus Sloan</t>
  </si>
  <si>
    <t>Jl Kantor Berita Blok I-128 Rt.003 Rw.009 Kel Cipinang Muara Kec Jati Negara</t>
  </si>
  <si>
    <t>SW111010</t>
  </si>
  <si>
    <t>Harsono Smart Clinic (WISHNU)</t>
  </si>
  <si>
    <t>Jl. Kramat Pela No.211, Kramat Pela, Kec. Kby. Baru, Kota Jakarta Selatan, Daerah Khusus Ibukota Jakarta 12160</t>
  </si>
  <si>
    <t>Pending</t>
  </si>
  <si>
    <t>Claudius Marcus</t>
  </si>
  <si>
    <t>Perumahan Bukit Podomoro</t>
  </si>
  <si>
    <t>Wisata Bukit Mas I/A 17 Lidah Wetan, Kec. Lakasantri Surabaya, Jawa Timur</t>
  </si>
  <si>
    <t>PT PESONA DEWI SRI- Candice - Blok 1A</t>
  </si>
  <si>
    <t>Jl. Dewi Sri II, Legian, Kecamatan Kuta, Kabupaten Badung, Bali 80631</t>
  </si>
  <si>
    <t>PT PESONA DEWI SRI- Candice - Blok 1B</t>
  </si>
  <si>
    <t>PT PESONA DEWI SRI- Candice - Blok 2A</t>
  </si>
  <si>
    <t>PT PESONA DEWI SRI- Candice - Blok 2B</t>
  </si>
  <si>
    <t xml:space="preserve">23/0230 
</t>
  </si>
  <si>
    <t xml:space="preserve">PT. Semangat Mekar Jaya Mandiri- Gio Dental Semarang
</t>
  </si>
  <si>
    <t>Halfdoor</t>
  </si>
  <si>
    <t>Gio Dental Jl. Setia Budi No.55, Srondol Kulon, Kec. Banyumanik, Kota Semarang, Jawa Tengah 50263</t>
  </si>
  <si>
    <t>Jl Agung Perkasa XII Blok J 13 No. 18, Sunter Agung Jakarta Utara</t>
  </si>
  <si>
    <t>SW113528</t>
  </si>
  <si>
    <t>Veronica Kadrianto (Vee)</t>
  </si>
  <si>
    <t>Jl Kebon Nanas III/11 Kebayoran Lama, Jakarta Selatan (blkng Belleza Permata Hijau)</t>
  </si>
  <si>
    <t>Curve Cognac</t>
  </si>
  <si>
    <t>Bpk Harijanto Adipratomo</t>
  </si>
  <si>
    <t>Jl Argopuro No.3, Semarang</t>
  </si>
  <si>
    <t>PT. Nindya Karya - IKN 2</t>
  </si>
  <si>
    <t>Taman Resort Mediterania Blok Z9/3 PIK</t>
  </si>
  <si>
    <t>Jl Denpasar I No88, Kuningan Jakarta Selatan</t>
  </si>
  <si>
    <t>PT. Fajar Jasagraha Utama</t>
  </si>
  <si>
    <t>Jl. Sutera Elok IV no 10, Alam Sutera, Tangerang</t>
  </si>
  <si>
    <t>Apartement South Links Lantai 1 BLK No.7 Jl Tibah Indah, Sekupang, Kota Batam, Kepulauan Riau</t>
  </si>
  <si>
    <t>Mus Abdullah - Classic Domoflex2 Surabaya</t>
  </si>
  <si>
    <t>Puri Kencana Karah F3, Ketintang, Surabaya, Jawa Timur</t>
  </si>
  <si>
    <t>Sofiani Iskandarsyah (Ilman)</t>
  </si>
  <si>
    <t>Jl Dharmawangsa XII / Prapanca Buntu no.124 Kec. Kby. Baru, Kota Jakarta Selatan, Daerah Khusus Ibukota Jakarta</t>
  </si>
  <si>
    <t>Puri Indah, Jl Kembangan Agung Utama Blok J2 No.21</t>
  </si>
  <si>
    <t>25/0472</t>
  </si>
  <si>
    <t>Kinanti Purnamasari / Lucy Ciputat</t>
  </si>
  <si>
    <t>Jl Lenteng Agung Raya No. 30, RT/RW 006/002, Kel.Lenteng Agung, Kec. Jagakarsa, Jakarta Selatan</t>
  </si>
  <si>
    <t>Jln Parahyangan Golf No 106 Mediterania I Bukit Sentul/Sentul City</t>
  </si>
  <si>
    <t>Stairlift Left</t>
  </si>
  <si>
    <t>PT Wira Properti - Andy Stairlift</t>
  </si>
  <si>
    <t>Jl RE Martadinata No15 Kel Sudiroprajan, Solo - 57121</t>
  </si>
  <si>
    <t>Jl. Titihan II Blk. HG12A,No. 22 Kec. Pd. Aren, Kota Tangerang Selatan, Banten, 15227 (Depan Sekolah Jepang masuk portal belok kiri rumah putih tinggi ada pos satpam)</t>
  </si>
  <si>
    <t>2025/483</t>
  </si>
  <si>
    <t>Yurma Welly (Moey Jaya Abadi)</t>
  </si>
  <si>
    <t>Simplift Cabin Only</t>
  </si>
  <si>
    <t>Bukit Golf Riverside Blok A6 no. 16, Bojong Nangka, Kec. Gn. Putri, Kabupaten Bogor, Jawa Barat 16963</t>
  </si>
  <si>
    <t>Siauw Santhi</t>
  </si>
  <si>
    <t>Ciragil 2 No 24 RT/RW 005/024 Jakarta</t>
  </si>
  <si>
    <t>Mus Abdullah - Stairlift Surabaya</t>
  </si>
  <si>
    <t>Sagamore Hill blok C-C3, Taman dayu, Pandaan, Jawa Timur</t>
  </si>
  <si>
    <t>Bright Future Rocks (Sergei)</t>
  </si>
  <si>
    <t>Tukad Pingai, Pererenan, Mengwi, Badung, Bali</t>
  </si>
  <si>
    <t>Nirwana sunter asri tahap 3 block c no 47</t>
  </si>
  <si>
    <t>Andri Suwardi - PIK (Pak Hendra)</t>
  </si>
  <si>
    <t>Boulevard Mediterania No. 20 Jakarta Utara, DKI Jakarta</t>
  </si>
  <si>
    <t>Duma Riris Silalahi</t>
  </si>
  <si>
    <t>Jl. Pulomas 3A no.2, kayu putih, jaktim.</t>
  </si>
  <si>
    <t>25/0431</t>
  </si>
  <si>
    <t>PT. Lego Merah Indonesia</t>
  </si>
  <si>
    <t>Cluster Eonna Blok D2 no.1, BSD</t>
  </si>
  <si>
    <t>SW111438</t>
  </si>
  <si>
    <t>Deepak R Chugani</t>
  </si>
  <si>
    <t>No 10, Bukit gading villa, jln kuta raya Kelapa gading, jkt utara</t>
  </si>
  <si>
    <t>Jl Borobudur no.26, Menteng</t>
  </si>
  <si>
    <t>Jl Tomang Utara no.32, Jakarta Barat</t>
  </si>
  <si>
    <t>SW113663</t>
  </si>
  <si>
    <t>Jorge Serrano - Unit instalasi di rumah</t>
  </si>
  <si>
    <t>Rua de Taibesi,Lahane Oriental,Dili,Timor-Leste</t>
  </si>
  <si>
    <t>Andri Suwardi - Sentul</t>
  </si>
  <si>
    <t>Sentul, Bogor</t>
  </si>
  <si>
    <t>SW116075</t>
  </si>
  <si>
    <t>PT Badan Joenoes Ikamulya - Eva Klp Gading</t>
  </si>
  <si>
    <t>Cluster Kintamani 2 No. 16, Kelapa Gading, Jakarta Utara</t>
  </si>
  <si>
    <t>SW114310</t>
  </si>
  <si>
    <t>Hendra Putra</t>
  </si>
  <si>
    <t>Villa Primary Umalas, Kerobokan Kelod, Kuta Utara, Badung Regency, Bali</t>
  </si>
  <si>
    <t>SW114309</t>
  </si>
  <si>
    <t>Breav Sugiarto</t>
  </si>
  <si>
    <t>Feby Joko</t>
  </si>
  <si>
    <t>Stairlift Curve Second</t>
  </si>
  <si>
    <t>Jl Tebet Timur Dalam 7 no. 8A (pagar coklat)</t>
  </si>
  <si>
    <t>PT. Kendali Bumi Semesta</t>
  </si>
  <si>
    <t>Jl. Lembang, Menteng, Jakarta Pusat</t>
  </si>
  <si>
    <t>Nasir</t>
  </si>
  <si>
    <t>Pantai Indah Kapuk, Bukit Golf Mediterania, Flamboyan Golf Raya No.12, Jakarta Utara</t>
  </si>
  <si>
    <t>Ir. Prihadiyanto</t>
  </si>
  <si>
    <t>Indomo Cabin Only</t>
  </si>
  <si>
    <t>Jl D K.P Tanah 80, No. 59A, RT10 RW008 Duren Sawit</t>
  </si>
  <si>
    <t>Yuni Handaya</t>
  </si>
  <si>
    <t>Puri Botanical Residence, Cluster Eugenia H5/15, Jl Meruya Selatan no.36, Joglo, Kembangan Jakarta 11640</t>
  </si>
  <si>
    <t>25/0433</t>
  </si>
  <si>
    <t>Rika Pauzie</t>
  </si>
  <si>
    <t>Jl. Pinisi Indah 6 No.1, RT.1/RW.7, 
Kapuk Muara, Kecamatan Penjaringan,
Jkt Utara, Daerah Khusus Ibukota Jakarta 14460</t>
  </si>
  <si>
    <t>25/0685</t>
  </si>
  <si>
    <t>Yunarto / Toni Bali</t>
  </si>
  <si>
    <t>Jalan Kertadalem No. 15, Sidakarya, Denpasar, Bali</t>
  </si>
  <si>
    <t>25/0461</t>
  </si>
  <si>
    <t>PT. Royal Bali Hai</t>
  </si>
  <si>
    <t>Ombak Villa Cemagi Jl. Pratu Rai Madra, Cemagi, Kec. Mengwi, Kabupaten Badung, Bali 80351</t>
  </si>
  <si>
    <t>SW114388</t>
  </si>
  <si>
    <t>Jl. Kayu Putih Tengah IB no 27, Jakarta Timur</t>
  </si>
  <si>
    <t>Indayanti Pekanbaru / Djohan Lawer</t>
  </si>
  <si>
    <t>Jalan Kundur no.15, Pekanbaru</t>
  </si>
  <si>
    <t>PT Supranusa Sindata / Stephen Yei</t>
  </si>
  <si>
    <t>Ruko Hampton Avenue, Jl Gatot Subroto no.3-5, Gading Serpong</t>
  </si>
  <si>
    <t>Jandi Djuhari</t>
  </si>
  <si>
    <t>Jl Cipaganti Permai I no.8, Bandung</t>
  </si>
  <si>
    <t>PT Bintan Lagoon Resort</t>
  </si>
  <si>
    <t>Jl Indera Segara Site No.A 12, Sebong Lagoi, Kec. Teluk Sebong, Kab Bintan, Kepulauan Riau</t>
  </si>
  <si>
    <t>25/0670</t>
  </si>
  <si>
    <t>Hasnuryani / Dian Rangkas Bitung</t>
  </si>
  <si>
    <t>Cijalur Rangkas Bitung</t>
  </si>
  <si>
    <t>Praditanto</t>
  </si>
  <si>
    <t>Jl Mimosa X-I /17, RT/RW 006/004, Kec. Pejaten Barat, Kec. Pasar Minggu, Jakarta Selatan</t>
  </si>
  <si>
    <t>25/0855</t>
  </si>
  <si>
    <t>Eva Pratiwi - Jaksel</t>
  </si>
  <si>
    <t>Jl. Cendrawasih mas VII blok A8 no 5 Perumahan Tanjung Mas Raya, Tanjung barat Jakarta Selatan</t>
  </si>
  <si>
    <t>25/0665</t>
  </si>
  <si>
    <t>Ricky Constantyn Sondakh</t>
  </si>
  <si>
    <t>Gereja GMIM Kleak, Jl Kampus Timur, Kelurahan Kleak, Kecamatan Malalayang, Kota Manado</t>
  </si>
  <si>
    <t xml:space="preserve">25/0295 
</t>
  </si>
  <si>
    <t>Demo Unit Domo2Flex</t>
  </si>
  <si>
    <t>Showroom Kreativ Lift</t>
  </si>
  <si>
    <t>Budhi Pratama Kurniawan W</t>
  </si>
  <si>
    <t>Stairlift Curve</t>
  </si>
  <si>
    <t>Perumahan Grand Galaxy City, Cluster Botanical Garden BG1 no 5 , Bekasi, Jawa Barat</t>
  </si>
  <si>
    <t>SW114592</t>
  </si>
  <si>
    <t>Endro</t>
  </si>
  <si>
    <t>Jl. Bukit Telaga Golf TE1/15, Citraland, Surabaya</t>
  </si>
  <si>
    <t>25/592</t>
  </si>
  <si>
    <t>Domoflex2 Open</t>
  </si>
  <si>
    <t>Stairlift Right</t>
  </si>
  <si>
    <t>Jl Empang Bahagia Raya No.30, Jelambar, Jakarta Barat</t>
  </si>
  <si>
    <t>Sandi / PT Gagah Putera Satria</t>
  </si>
  <si>
    <t>Jl. Cempaka Atas No.2, RT.6/RW.8, Kota Bambu Utara, Kec. Palmerah, Kota Jakarta Barat, Daerah Khusus Ibukota Jakarta 11420</t>
  </si>
  <si>
    <t>25/0623</t>
  </si>
  <si>
    <t>Edwin Ekaputra Halim</t>
  </si>
  <si>
    <t>Ancol</t>
  </si>
  <si>
    <t>Herman Kwik / PT Rukun Sahabat Senior</t>
  </si>
  <si>
    <t>PVE Midio</t>
  </si>
  <si>
    <t>Panti Jompo</t>
  </si>
  <si>
    <t>Jl Wortel Blok G1 No.9, Griya Loka, BSD, Tangerang Selatan</t>
  </si>
  <si>
    <t>SW114449</t>
  </si>
  <si>
    <t>Agish / PT Alien</t>
  </si>
  <si>
    <t>Cilandak - Seberang Cove Nawaprita</t>
  </si>
  <si>
    <t xml:space="preserve">25/0705 
</t>
  </si>
  <si>
    <t>Krisyanto / PT Adis Dimesion Footwear</t>
  </si>
  <si>
    <t>Pabrik</t>
  </si>
  <si>
    <t>PT Adis Dimension Footwear, 24, Jl. Raya Serang No.Km, Balaraja, Kec. Balaraja, Kabupaten Tangerang, Banten 15610</t>
  </si>
  <si>
    <t>Young</t>
  </si>
  <si>
    <t>Jl Sukahaji No.52, Bandung</t>
  </si>
  <si>
    <t>Nike / Gunawan / Kuswendy Yasukin</t>
  </si>
  <si>
    <t>Jl Sanur Raya No.7, BGV, Kelapa Gading</t>
  </si>
  <si>
    <t>Selo / Rian / Etin Sumarni</t>
  </si>
  <si>
    <t>Stairlift Curve Left</t>
  </si>
  <si>
    <t>Jl Sriwijaya Raya no 9, Jakarta Selatan</t>
  </si>
  <si>
    <t>Sean / Rumah Inovasi Sosial Ekologi</t>
  </si>
  <si>
    <t>Cafe</t>
  </si>
  <si>
    <t>Jl Cipete Raya No.14, Jakarta Selatan</t>
  </si>
  <si>
    <t>Alice Tanizar</t>
  </si>
  <si>
    <t>Jl Cempaka Putih Tengah II no.19, Cempaka Putih Timur, Jakarta Pusat</t>
  </si>
  <si>
    <t>Yonato - Lampung</t>
  </si>
  <si>
    <t>Hotel</t>
  </si>
  <si>
    <t>Boutique Hotel, Jl. Dr harun 1 hm 03266, Kota Baru, Tanjung Karang Timur, Bandar Lampung, Lampung 35121</t>
  </si>
  <si>
    <t>25/0741</t>
  </si>
  <si>
    <t>Gatot Hidayat</t>
  </si>
  <si>
    <t>Classic</t>
  </si>
  <si>
    <t>Komplek Permata Regency Blok G 32, Jalan Haji Kelik, Kelapa Dua, Srengseng, Jakarta Barat 11630</t>
  </si>
  <si>
    <t>Hendry Wijaya / Jo Tedja</t>
  </si>
  <si>
    <t>Royal Orchard, Kelapa Gading</t>
  </si>
  <si>
    <t>SW116351</t>
  </si>
  <si>
    <t>Rahmadia Diwala Putri - Bekasi</t>
  </si>
  <si>
    <t>Jalan Prima Harapan Regency Blok C4 No 20, Kota Bekasi</t>
  </si>
  <si>
    <t>SW116573</t>
  </si>
  <si>
    <t>Winsen Koeswanto - Sby</t>
  </si>
  <si>
    <t>Perumahan Park Avenue, Dian Istana C8-03, Surabaya</t>
  </si>
  <si>
    <t>Stevanus Rahardja</t>
  </si>
  <si>
    <t>Permata Buana, Jl Pulau Bira IV no.C5 -25, Jakarta Barat</t>
  </si>
  <si>
    <t>Yunike / Natanael Walker Bunga Piga</t>
  </si>
  <si>
    <t>Gereja</t>
  </si>
  <si>
    <t>Rukan Sentra Niaga D11 Green Lake City, Jakarta Barat</t>
  </si>
  <si>
    <t>Feisal Adli Samvara</t>
  </si>
  <si>
    <t>Jl Hang Lekiu III no.33, Kebayoran Baru, Jakarta Selatan</t>
  </si>
  <si>
    <t>SW116045</t>
  </si>
  <si>
    <t>Mandiri Hang Tuah / PT Karya Perdana Baru</t>
  </si>
  <si>
    <t>Jl Hang Tuah No.45, Jakarta Selatan</t>
  </si>
  <si>
    <t>25/0866</t>
  </si>
  <si>
    <t>Halim Sudrajat</t>
  </si>
  <si>
    <t>Fatmawati, Jakarta Selatan</t>
  </si>
  <si>
    <t>Russel / Enny / Ir. Soni</t>
  </si>
  <si>
    <t>Taman Kencana Blok E9 no.26, Tegal Alur, Kalideres, Jakarta Barat</t>
  </si>
  <si>
    <t>Charles / PT Paris Jaya</t>
  </si>
  <si>
    <t>Jl Citraland The Arcade TA E, 07, Lateri Baguala, Kota Ambon, Maluku</t>
  </si>
  <si>
    <t>Lindawati Pola</t>
  </si>
  <si>
    <t>Jl Agung Barat 42, RT 6 RW 10, Sunter Agung, Jakarta Utara</t>
  </si>
  <si>
    <t>Visit1</t>
  </si>
  <si>
    <t>Ket</t>
  </si>
  <si>
    <t>Vis2</t>
  </si>
  <si>
    <t>sentul</t>
  </si>
  <si>
    <t>Jakarta utara</t>
  </si>
  <si>
    <t>Bintan</t>
  </si>
  <si>
    <t>Jakarta selatan</t>
  </si>
  <si>
    <t>Kalimantan Barat</t>
  </si>
  <si>
    <t>sdh dkgi</t>
  </si>
  <si>
    <t>byr</t>
  </si>
  <si>
    <t>blm di tempatin</t>
  </si>
  <si>
    <t>tdk respon</t>
  </si>
  <si>
    <t>no respon</t>
  </si>
  <si>
    <t>tdk ush lg sakit</t>
  </si>
  <si>
    <t>service 9/1</t>
  </si>
  <si>
    <t>DOne</t>
  </si>
  <si>
    <t>Matthew</t>
  </si>
  <si>
    <t>PT. Badan Joenoes ( Eva )</t>
  </si>
  <si>
    <t>PT. Sandra Jaya Murni ( mandiri iskandarsyah )</t>
  </si>
  <si>
    <t>Lars Peter Nielsen</t>
  </si>
  <si>
    <t>Dr. Syifa Mustika</t>
  </si>
  <si>
    <t>PT. Karya Perdana Baru ( Mandiri Hangtuah )</t>
  </si>
  <si>
    <t>Karolin ( caroline )</t>
  </si>
  <si>
    <t>Left Curve</t>
  </si>
  <si>
    <t>Riza ( apt sahid )</t>
  </si>
  <si>
    <t>24/0515</t>
  </si>
  <si>
    <t>SW116837</t>
  </si>
  <si>
    <t>sw110295</t>
  </si>
  <si>
    <t>The Taman Dayu Beaufort Valle E03 no 09, Area Sawah, Dayurejo, Kec.Prigen, Pasuruan, Jawa Timur</t>
  </si>
  <si>
    <t>Jl. Tampak Siring No 2 Rt 2/Rw 3 cipete selatan cilandak jakarta selatan</t>
  </si>
  <si>
    <t>Jl. Iskandarstag No 1 Jakarta selatan</t>
  </si>
  <si>
    <t>Cluster Kintamani 2 No 16 Kelapa gading Jakarta Utara</t>
  </si>
  <si>
    <t>Jl. Layar Permai 10 No. 8 Kapuk Muara Jakarta Utara</t>
  </si>
  <si>
    <t>Apartement Istana sahid Unit melati 21</t>
  </si>
  <si>
    <t xml:space="preserve">Kelapa Cengkir 6 Blok FN2 No 16-17 </t>
  </si>
  <si>
    <t>Jl Sumbawa No.23, Menteng, Jakarta Pusat</t>
  </si>
  <si>
    <t>Jl. Sanusi No. 02, Kel. Cendana, Kec. Rantau Utara, Kabupaten Labuhan Batu, Sumatera Utara</t>
  </si>
  <si>
    <t>Sumatera Utara</t>
  </si>
  <si>
    <t>Reynolds</t>
  </si>
  <si>
    <t>dikabarin</t>
  </si>
  <si>
    <t xml:space="preserve">ga adayg respon </t>
  </si>
  <si>
    <t>Sensor magnetic</t>
  </si>
  <si>
    <t>part nya byk</t>
  </si>
  <si>
    <t xml:space="preserve">service udec c </t>
  </si>
  <si>
    <t>tunggu part</t>
  </si>
  <si>
    <t>tgl 20</t>
  </si>
  <si>
    <t xml:space="preserve">Sevice </t>
  </si>
  <si>
    <t>PT. Alien Bangun Nusantara</t>
  </si>
  <si>
    <t>Jl. Karang Tengah I No.3 4/3 Lebak bulus kec. Cilandak Kota Jakarta Selatan DKI 12440</t>
  </si>
  <si>
    <t>Jusuf Kiesworo</t>
  </si>
  <si>
    <t>Perumahan Teras Ayung Blok A-19 , Jl. Gatot Subroto timur Denpasar 80239</t>
  </si>
  <si>
    <t>Stefan ( PT Dwitunggal Ekatama )</t>
  </si>
  <si>
    <t>Straight Right</t>
  </si>
  <si>
    <t>Jl. Parang Tritis 8 No.20 Ancol Barat Jakarta Utara</t>
  </si>
  <si>
    <t>Dianto</t>
  </si>
  <si>
    <t>Jl. Kolonel Atmo No. 14 , Ilir Timur Palembang Indonesia</t>
  </si>
  <si>
    <t>PT Pesona Dewi Sri ( Nathalie Fransisca )</t>
  </si>
  <si>
    <t>25/0241</t>
  </si>
  <si>
    <t>Jl. Dewi Sri II No 33 Legian Bali</t>
  </si>
  <si>
    <t>25/0243</t>
  </si>
  <si>
    <t>PT Pesona Dewi Sri ( Nathalie Fransisca ) Unit 2 B</t>
  </si>
  <si>
    <t>PT Lego Merah ( Vian )</t>
  </si>
  <si>
    <t>Clusteer Eonna BSD Blok D2 No 1 BSD</t>
  </si>
  <si>
    <t>Easyplat Platform</t>
  </si>
  <si>
    <t>25/0592</t>
  </si>
  <si>
    <t>Jl. Indera Segara Site No. A 12 Sebong lagoi Kec. Tlk Sebong Kab Bintan Kep Riau 29155, Villa 15A</t>
  </si>
  <si>
    <t>Komplek Permata Regency Blok G 32, Jalan Haji Kelik Kelapa dua Srengseng jakarta Barat 11630</t>
  </si>
  <si>
    <t>Jl. Lembang No D54 , Menteng, Jakarta Pusat</t>
  </si>
  <si>
    <t>PT Kendali Bumi Semesta</t>
  </si>
  <si>
    <t>SW111545</t>
  </si>
  <si>
    <t>Gereja GMIM Musafir Kleak ( Ricky constatin )</t>
  </si>
  <si>
    <t>Rahmadia Diwala Putri</t>
  </si>
  <si>
    <t>PT Royal Bali Hai</t>
  </si>
  <si>
    <t>Winsen Koeswanto</t>
  </si>
  <si>
    <t>Eddy Budiman ( Yosie )</t>
  </si>
  <si>
    <t>SW114845</t>
  </si>
  <si>
    <t>Yunike ( natanael Walker Bunga Piga )</t>
  </si>
  <si>
    <t>SW116634</t>
  </si>
  <si>
    <t>PT Delta Cipta Sinergi ( PT ASDP Indonesia )</t>
  </si>
  <si>
    <t>Handicare</t>
  </si>
  <si>
    <t>SW106711</t>
  </si>
  <si>
    <t>Junita ( Urban Art )</t>
  </si>
  <si>
    <t>SW117909</t>
  </si>
  <si>
    <t>Hanny Erna ( PT Cime )</t>
  </si>
  <si>
    <t>Oki</t>
  </si>
  <si>
    <t>Herman Tan</t>
  </si>
  <si>
    <t xml:space="preserve">PT. Royal Bali Hai / Putu Bali </t>
  </si>
  <si>
    <t>Jl. Green Garden Blok o-4/2, Kedoya Utara Kebon Jeruk Jakarta Barat</t>
  </si>
  <si>
    <t>PT. ASDP Indonesia Fery Pelabuhan Merak , Merak Mekarsari Kota Cilegon</t>
  </si>
  <si>
    <t>Podomoro golf view cluster iroko blok 07 no 11, Jl. Mochamad Thohir Cluster Iroko No.07/11, Bojong Nangka, Kec. Gn. Putri, Kabupaten Bogor, Jawa Barat 16963</t>
  </si>
  <si>
    <t>Jalan Brawijaya 4 Nomor 1A 1B, Pulo, Kebayoran Baru, Jakarta Selatan, Daerah Khusus Ibukota Jakarta 12160</t>
  </si>
  <si>
    <t>Jl pulau kelapa 1 blok B2 no 1, Taman permata buana jakbar</t>
  </si>
  <si>
    <t>J. Sunarmo</t>
  </si>
  <si>
    <t>Jl. Jelambar Madya II Kav Polri Blok C4 No 831/832 Jelambar - grogol Jakarta Barat</t>
  </si>
  <si>
    <t>SW117439</t>
  </si>
  <si>
    <t>Jefry Wijaya</t>
  </si>
  <si>
    <t>Katamaran Permai 8 no 6 A Kapuk Muara Kec. Penjaringan Jakarta Utara</t>
  </si>
  <si>
    <t>cambodia</t>
  </si>
  <si>
    <t>cluster sapphire. Jln. Kintamani golf 8 blok KG no.50, pakulonan barat, kelapa dua, kab. Tangerang.</t>
  </si>
  <si>
    <t>Hendra Suwardi ( andi PIK )</t>
  </si>
  <si>
    <t>Sutera Elok IV no 10, BSD</t>
  </si>
  <si>
    <t>Susy Cirebon</t>
  </si>
  <si>
    <t>25/853</t>
  </si>
  <si>
    <t>Simplift</t>
  </si>
  <si>
    <t>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</si>
</sst>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-409]d\-mmm\-yyyy;@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206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165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64" fontId="0" fillId="0" borderId="0" xfId="1" applyFont="1" applyAlignment="1">
      <alignment horizontal="center" vertical="center"/>
    </xf>
    <xf numFmtId="164" fontId="0" fillId="0" borderId="0" xfId="1" applyFont="1" applyAlignment="1">
      <alignment horizontal="center"/>
    </xf>
    <xf numFmtId="165" fontId="0" fillId="2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165" fontId="0" fillId="5" borderId="0" xfId="0" applyNumberFormat="1" applyFill="1"/>
    <xf numFmtId="165" fontId="0" fillId="7" borderId="0" xfId="0" applyNumberFormat="1" applyFill="1"/>
    <xf numFmtId="165" fontId="0" fillId="9" borderId="0" xfId="0" applyNumberFormat="1" applyFill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0" fillId="4" borderId="0" xfId="0" applyFill="1" applyAlignment="1">
      <alignment horizontal="center"/>
    </xf>
    <xf numFmtId="165" fontId="0" fillId="10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165" fontId="5" fillId="7" borderId="0" xfId="0" applyNumberFormat="1" applyFon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0" fontId="0" fillId="0" borderId="0" xfId="0" applyAlignment="1">
      <alignment horizontal="right"/>
    </xf>
    <xf numFmtId="165" fontId="3" fillId="9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5" fontId="0" fillId="8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6" fillId="12" borderId="1" xfId="0" applyFont="1" applyFill="1" applyBorder="1" applyAlignment="1">
      <alignment vertical="top" wrapText="1"/>
    </xf>
    <xf numFmtId="0" fontId="6" fillId="12" borderId="2" xfId="0" applyFont="1" applyFill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vertical="top" wrapText="1"/>
    </xf>
    <xf numFmtId="0" fontId="7" fillId="13" borderId="4" xfId="0" applyFont="1" applyFill="1" applyBorder="1" applyAlignment="1">
      <alignment vertical="top" wrapText="1"/>
    </xf>
    <xf numFmtId="0" fontId="8" fillId="13" borderId="4" xfId="0" applyFont="1" applyFill="1" applyBorder="1" applyAlignment="1">
      <alignment vertical="top" wrapText="1"/>
    </xf>
    <xf numFmtId="0" fontId="7" fillId="0" borderId="4" xfId="0" applyFont="1" applyBorder="1" applyAlignment="1">
      <alignment horizontal="center" vertical="top" wrapText="1"/>
    </xf>
    <xf numFmtId="0" fontId="7" fillId="13" borderId="4" xfId="0" applyFont="1" applyFill="1" applyBorder="1" applyAlignment="1">
      <alignment horizontal="center" vertical="top" wrapText="1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vertical="top" wrapText="1"/>
    </xf>
    <xf numFmtId="0" fontId="10" fillId="13" borderId="4" xfId="0" applyFont="1" applyFill="1" applyBorder="1" applyAlignment="1">
      <alignment vertical="top" wrapText="1"/>
    </xf>
    <xf numFmtId="0" fontId="7" fillId="14" borderId="4" xfId="0" applyFont="1" applyFill="1" applyBorder="1" applyAlignment="1">
      <alignment vertical="top" wrapText="1"/>
    </xf>
    <xf numFmtId="0" fontId="8" fillId="14" borderId="4" xfId="0" applyFont="1" applyFill="1" applyBorder="1" applyAlignment="1">
      <alignment vertical="top" wrapText="1"/>
    </xf>
    <xf numFmtId="0" fontId="7" fillId="14" borderId="4" xfId="0" applyFont="1" applyFill="1" applyBorder="1" applyAlignment="1">
      <alignment horizontal="center" vertical="top" wrapText="1"/>
    </xf>
    <xf numFmtId="0" fontId="9" fillId="14" borderId="4" xfId="0" applyFont="1" applyFill="1" applyBorder="1" applyAlignment="1">
      <alignment vertical="top" wrapText="1"/>
    </xf>
    <xf numFmtId="0" fontId="7" fillId="13" borderId="3" xfId="0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6" fillId="12" borderId="5" xfId="0" applyFont="1" applyFill="1" applyBorder="1" applyAlignment="1">
      <alignment vertical="top" wrapText="1"/>
    </xf>
    <xf numFmtId="0" fontId="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A25"/>
  <sheetViews>
    <sheetView workbookViewId="0">
      <selection activeCell="Q11" sqref="Q11"/>
    </sheetView>
  </sheetViews>
  <sheetFormatPr defaultRowHeight="14.4" x14ac:dyDescent="0.3"/>
  <sheetData>
    <row r="2" spans="1:1" x14ac:dyDescent="0.3">
      <c r="A2" t="s">
        <v>934</v>
      </c>
    </row>
    <row r="4" spans="1:1" x14ac:dyDescent="0.3">
      <c r="A4" s="23" t="s">
        <v>935</v>
      </c>
    </row>
    <row r="5" spans="1:1" x14ac:dyDescent="0.3">
      <c r="A5" t="s">
        <v>936</v>
      </c>
    </row>
    <row r="6" spans="1:1" x14ac:dyDescent="0.3">
      <c r="A6" t="s">
        <v>937</v>
      </c>
    </row>
    <row r="7" spans="1:1" x14ac:dyDescent="0.3">
      <c r="A7" t="s">
        <v>938</v>
      </c>
    </row>
    <row r="9" spans="1:1" x14ac:dyDescent="0.3">
      <c r="A9" s="23" t="s">
        <v>939</v>
      </c>
    </row>
    <row r="10" spans="1:1" x14ac:dyDescent="0.3">
      <c r="A10" t="s">
        <v>940</v>
      </c>
    </row>
    <row r="11" spans="1:1" x14ac:dyDescent="0.3">
      <c r="A11" t="s">
        <v>941</v>
      </c>
    </row>
    <row r="12" spans="1:1" x14ac:dyDescent="0.3">
      <c r="A12" t="s">
        <v>942</v>
      </c>
    </row>
    <row r="14" spans="1:1" x14ac:dyDescent="0.3">
      <c r="A14" s="23" t="s">
        <v>943</v>
      </c>
    </row>
    <row r="15" spans="1:1" x14ac:dyDescent="0.3">
      <c r="A15" t="s">
        <v>944</v>
      </c>
    </row>
    <row r="16" spans="1:1" x14ac:dyDescent="0.3">
      <c r="A16" t="s">
        <v>945</v>
      </c>
    </row>
    <row r="17" spans="1:1" x14ac:dyDescent="0.3">
      <c r="A17" t="s">
        <v>946</v>
      </c>
    </row>
    <row r="18" spans="1:1" x14ac:dyDescent="0.3">
      <c r="A18" t="s">
        <v>947</v>
      </c>
    </row>
    <row r="20" spans="1:1" x14ac:dyDescent="0.3">
      <c r="A20" s="23" t="s">
        <v>948</v>
      </c>
    </row>
    <row r="21" spans="1:1" x14ac:dyDescent="0.3">
      <c r="A21" t="s">
        <v>949</v>
      </c>
    </row>
    <row r="23" spans="1:1" x14ac:dyDescent="0.3">
      <c r="A23" s="23" t="s">
        <v>950</v>
      </c>
    </row>
    <row r="24" spans="1:1" x14ac:dyDescent="0.3">
      <c r="A24" t="s">
        <v>951</v>
      </c>
    </row>
    <row r="25" spans="1:1" x14ac:dyDescent="0.3">
      <c r="A25" t="s">
        <v>952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56"/>
  <sheetViews>
    <sheetView topLeftCell="A346" workbookViewId="0">
      <selection activeCell="H1" sqref="H1"/>
    </sheetView>
  </sheetViews>
  <sheetFormatPr defaultRowHeight="14.4" x14ac:dyDescent="0.3"/>
  <cols>
    <col min="1" max="1" width="7.88671875" style="5" bestFit="1" customWidth="1"/>
    <col min="2" max="2" width="23" style="5" bestFit="1" customWidth="1"/>
    <col min="3" max="3" width="12.77734375" style="5" bestFit="1" customWidth="1"/>
    <col min="4" max="4" width="12.33203125" style="5" bestFit="1" customWidth="1"/>
    <col min="5" max="5" width="12.33203125" style="5" customWidth="1"/>
    <col min="6" max="6" width="52.109375" style="8" bestFit="1" customWidth="1"/>
    <col min="7" max="7" width="18.77734375" style="8" customWidth="1"/>
    <col min="8" max="8" width="20.21875" style="3" bestFit="1" customWidth="1"/>
    <col min="9" max="9" width="23.109375" style="5" bestFit="1" customWidth="1"/>
    <col min="10" max="10" width="16.109375" style="5" bestFit="1" customWidth="1"/>
    <col min="11" max="11" width="21.88671875" style="5" hidden="1" customWidth="1"/>
    <col min="12" max="12" width="21.88671875" style="5" bestFit="1" customWidth="1"/>
    <col min="13" max="16384" width="8.88671875" style="5"/>
  </cols>
  <sheetData>
    <row r="1" spans="1:17" x14ac:dyDescent="0.3">
      <c r="A1" s="4" t="s">
        <v>0</v>
      </c>
      <c r="B1" s="4" t="s">
        <v>360</v>
      </c>
      <c r="C1" s="4" t="s">
        <v>359</v>
      </c>
      <c r="D1" s="4" t="s">
        <v>390</v>
      </c>
      <c r="E1" s="4"/>
      <c r="F1" s="13" t="s">
        <v>1</v>
      </c>
      <c r="G1" s="13" t="s">
        <v>606</v>
      </c>
      <c r="H1" s="2" t="s">
        <v>418</v>
      </c>
      <c r="I1" s="4" t="s">
        <v>419</v>
      </c>
      <c r="J1" s="4" t="s">
        <v>393</v>
      </c>
      <c r="K1" s="4" t="s">
        <v>416</v>
      </c>
      <c r="L1" s="4" t="s">
        <v>414</v>
      </c>
      <c r="M1" s="4"/>
      <c r="N1" s="4"/>
      <c r="O1" s="4"/>
      <c r="P1" s="4"/>
      <c r="Q1" s="4"/>
    </row>
    <row r="2" spans="1:17" x14ac:dyDescent="0.3">
      <c r="A2" s="5">
        <v>1</v>
      </c>
      <c r="B2" s="5" t="s">
        <v>362</v>
      </c>
      <c r="C2" s="5" t="s">
        <v>228</v>
      </c>
      <c r="D2" s="6">
        <v>44201</v>
      </c>
      <c r="E2" s="6" t="str">
        <f>TEXT(L2,"mmm")</f>
        <v>May</v>
      </c>
      <c r="F2" s="8" t="s">
        <v>23</v>
      </c>
      <c r="G2" s="8" t="s">
        <v>618</v>
      </c>
      <c r="H2" s="15">
        <f>VLOOKUP(F2,'Counting Free'!$B:$F,4,0)</f>
        <v>0</v>
      </c>
      <c r="I2" s="14">
        <f>VLOOKUP(F2,'Counting Kontrak'!B:E,4,0)</f>
        <v>0</v>
      </c>
      <c r="J2" s="5" t="str">
        <f ca="1">VLOOKUP(F2,'Data Garansi'!$E:$I,5,0)</f>
        <v>Tidak</v>
      </c>
      <c r="K2" s="6">
        <f>VLOOKUP(F2,'Tgl MC Free'!B:M,8,0)</f>
        <v>45978</v>
      </c>
      <c r="L2" s="6">
        <f>VLOOKUP(F2,'Tgl Maintenance untuk Kontrak'!$D:$M,10,0)</f>
        <v>45798</v>
      </c>
      <c r="M2" s="5" t="str">
        <f>TEXT(L2,"mmm")</f>
        <v>May</v>
      </c>
    </row>
    <row r="3" spans="1:17" x14ac:dyDescent="0.3">
      <c r="A3" s="5">
        <v>2</v>
      </c>
      <c r="B3" s="5" t="s">
        <v>365</v>
      </c>
      <c r="C3" s="5" t="s">
        <v>227</v>
      </c>
      <c r="D3" s="6">
        <v>44255</v>
      </c>
      <c r="E3" s="6" t="str">
        <f>TEXT(L3,"mmm")</f>
        <v>May</v>
      </c>
      <c r="F3" s="8" t="s">
        <v>22</v>
      </c>
      <c r="G3" s="8" t="s">
        <v>607</v>
      </c>
      <c r="H3" s="15">
        <f>VLOOKUP(F3,'Counting Free'!$B:$F,4,0)</f>
        <v>0</v>
      </c>
      <c r="I3" s="14">
        <f>VLOOKUP(F3,'Counting Kontrak'!B:E,4,0)</f>
        <v>0</v>
      </c>
      <c r="J3" s="5" t="str">
        <f ca="1">VLOOKUP(F3,'Data Garansi'!$E:$I,5,0)</f>
        <v>Tidak</v>
      </c>
      <c r="K3" s="6">
        <f>VLOOKUP(F3,'Tgl MC Free'!B:M,8,0)</f>
        <v>45980</v>
      </c>
      <c r="L3" s="6">
        <f>VLOOKUP(F3,'Tgl Maintenance untuk Kontrak'!$D:$M,10,0)</f>
        <v>45800</v>
      </c>
      <c r="M3" s="5" t="str">
        <f t="shared" ref="M3:M19" si="0">TEXT(L3,"mmm")</f>
        <v>May</v>
      </c>
    </row>
    <row r="4" spans="1:17" x14ac:dyDescent="0.3">
      <c r="A4" s="5">
        <v>3</v>
      </c>
      <c r="B4" s="5" t="s">
        <v>362</v>
      </c>
      <c r="C4" s="5" t="s">
        <v>208</v>
      </c>
      <c r="D4" s="6">
        <v>44400</v>
      </c>
      <c r="E4" s="6"/>
      <c r="F4" s="8" t="s">
        <v>3</v>
      </c>
      <c r="G4" s="8" t="s">
        <v>608</v>
      </c>
      <c r="H4" s="15">
        <f>VLOOKUP(F4,'Counting Free'!$B:$F,4,0)</f>
        <v>2</v>
      </c>
      <c r="I4" s="14">
        <f>VLOOKUP(F4,'Counting Kontrak'!B:E,4,0)</f>
        <v>0</v>
      </c>
      <c r="J4" s="5" t="str">
        <f ca="1">VLOOKUP(F4,'Data Garansi'!$E:$I,5,0)</f>
        <v>Tidak</v>
      </c>
      <c r="K4" s="6">
        <f>VLOOKUP(F4,'Tgl MC Free'!B:M,8,0)</f>
        <v>45790</v>
      </c>
      <c r="L4" s="6">
        <f>VLOOKUP(F4,'Tgl Maintenance untuk Kontrak'!$D:$M,10,0)</f>
        <v>45610</v>
      </c>
      <c r="M4" s="5" t="str">
        <f t="shared" si="0"/>
        <v>Nov</v>
      </c>
    </row>
    <row r="5" spans="1:17" x14ac:dyDescent="0.3">
      <c r="A5" s="5">
        <v>4</v>
      </c>
      <c r="B5" s="5" t="s">
        <v>363</v>
      </c>
      <c r="C5" s="5" t="s">
        <v>209</v>
      </c>
      <c r="D5" s="6">
        <v>44428</v>
      </c>
      <c r="E5" s="6"/>
      <c r="F5" s="8" t="s">
        <v>4</v>
      </c>
      <c r="G5" s="8" t="s">
        <v>609</v>
      </c>
      <c r="H5" s="15">
        <f>VLOOKUP(F5,'Counting Free'!$B:$F,4,0)</f>
        <v>1</v>
      </c>
      <c r="I5" s="14">
        <f>VLOOKUP(F5,'Counting Kontrak'!B:E,4,0)</f>
        <v>0</v>
      </c>
      <c r="J5" s="5" t="str">
        <f ca="1">VLOOKUP(F5,'Data Garansi'!$E:$I,5,0)</f>
        <v>Tidak</v>
      </c>
      <c r="K5" s="6">
        <f>VLOOKUP(F5,'Tgl MC Free'!B:M,8,0)</f>
        <v>45536</v>
      </c>
      <c r="L5" s="6">
        <f>VLOOKUP(F5,'Tgl Maintenance untuk Kontrak'!$D:$M,10,0)</f>
        <v>45356</v>
      </c>
      <c r="M5" s="5" t="str">
        <f t="shared" si="0"/>
        <v>Mar</v>
      </c>
    </row>
    <row r="6" spans="1:17" x14ac:dyDescent="0.3">
      <c r="A6" s="5">
        <v>5</v>
      </c>
      <c r="B6" s="5" t="s">
        <v>361</v>
      </c>
      <c r="C6" s="5" t="s">
        <v>207</v>
      </c>
      <c r="D6" s="6">
        <v>44435</v>
      </c>
      <c r="E6" s="6" t="str">
        <f t="shared" ref="E6:E16" si="1">TEXT(L6,"mmm")</f>
        <v>-</v>
      </c>
      <c r="F6" s="8" t="s">
        <v>2</v>
      </c>
      <c r="G6" s="8" t="s">
        <v>608</v>
      </c>
      <c r="H6" s="15">
        <f>VLOOKUP(F6,'Counting Free'!$B:$F,4,0)</f>
        <v>2</v>
      </c>
      <c r="I6" s="14">
        <f>VLOOKUP(F6,'Counting Kontrak'!B:E,4,0)</f>
        <v>13</v>
      </c>
      <c r="J6" s="5" t="str">
        <f ca="1">VLOOKUP(F6,'Data Garansi'!$E:$I,5,0)</f>
        <v>Tidak</v>
      </c>
      <c r="K6" s="6">
        <f>VLOOKUP(F6,'Tgl MC Free'!B:M,8,0)</f>
        <v>46160</v>
      </c>
      <c r="L6" s="6" t="str">
        <f>VLOOKUP(F6,'Tgl Maintenance untuk Kontrak'!$D:$M,10,0)</f>
        <v>-</v>
      </c>
      <c r="M6" s="5" t="str">
        <f t="shared" si="0"/>
        <v>-</v>
      </c>
    </row>
    <row r="7" spans="1:17" x14ac:dyDescent="0.3">
      <c r="A7" s="5">
        <v>6</v>
      </c>
      <c r="B7" s="5" t="s">
        <v>362</v>
      </c>
      <c r="C7" s="5" t="s">
        <v>214</v>
      </c>
      <c r="D7" s="6">
        <v>44474</v>
      </c>
      <c r="E7" s="6" t="str">
        <f t="shared" si="1"/>
        <v>Jun</v>
      </c>
      <c r="F7" s="8" t="s">
        <v>9</v>
      </c>
      <c r="G7" s="8" t="s">
        <v>610</v>
      </c>
      <c r="H7" s="15">
        <f>VLOOKUP(F7,'Counting Free'!$B:$F,4,0)</f>
        <v>2</v>
      </c>
      <c r="I7" s="14">
        <f>VLOOKUP(F7,'Counting Kontrak'!B:E,4,0)</f>
        <v>0</v>
      </c>
      <c r="J7" s="5" t="str">
        <f ca="1">VLOOKUP(F7,'Data Garansi'!$E:$I,5,0)</f>
        <v>Tidak</v>
      </c>
      <c r="K7" s="6">
        <f>VLOOKUP(F7,'Tgl MC Free'!B:M,8,0)</f>
        <v>46045</v>
      </c>
      <c r="L7" s="6">
        <f>VLOOKUP(F7,'Tgl Maintenance untuk Kontrak'!$D:$M,10,0)</f>
        <v>46193</v>
      </c>
      <c r="M7" s="5" t="str">
        <f t="shared" si="0"/>
        <v>Jun</v>
      </c>
    </row>
    <row r="8" spans="1:17" x14ac:dyDescent="0.3">
      <c r="A8" s="5">
        <v>7</v>
      </c>
      <c r="B8" s="5" t="s">
        <v>362</v>
      </c>
      <c r="C8" s="5" t="s">
        <v>219</v>
      </c>
      <c r="D8" s="6">
        <v>44490</v>
      </c>
      <c r="E8" s="6" t="str">
        <f t="shared" si="1"/>
        <v>Jan</v>
      </c>
      <c r="F8" s="8" t="s">
        <v>14</v>
      </c>
      <c r="G8" s="8" t="s">
        <v>611</v>
      </c>
      <c r="H8" s="15">
        <f>VLOOKUP(F8,'Counting Free'!$B:$F,4,0)</f>
        <v>2</v>
      </c>
      <c r="I8" s="14">
        <f>VLOOKUP(F8,'Counting Kontrak'!B:E,4,0)</f>
        <v>0</v>
      </c>
      <c r="J8" s="5" t="str">
        <f ca="1">VLOOKUP(F8,'Data Garansi'!$E:$I,5,0)</f>
        <v>Tidak</v>
      </c>
      <c r="K8" s="6">
        <f>VLOOKUP(F8,'Tgl MC Free'!B:M,8,0)</f>
        <v>45859</v>
      </c>
      <c r="L8" s="6">
        <f>VLOOKUP(F8,'Tgl Maintenance untuk Kontrak'!$D:$M,10,0)</f>
        <v>45679</v>
      </c>
      <c r="M8" s="5" t="str">
        <f t="shared" si="0"/>
        <v>Jan</v>
      </c>
    </row>
    <row r="9" spans="1:17" x14ac:dyDescent="0.3">
      <c r="A9" s="5">
        <v>8</v>
      </c>
      <c r="B9" s="5" t="s">
        <v>362</v>
      </c>
      <c r="C9" s="5" t="s">
        <v>213</v>
      </c>
      <c r="D9" s="6">
        <v>44517</v>
      </c>
      <c r="E9" s="6" t="str">
        <f t="shared" si="1"/>
        <v>May</v>
      </c>
      <c r="F9" s="8" t="s">
        <v>8</v>
      </c>
      <c r="G9" s="8" t="s">
        <v>610</v>
      </c>
      <c r="H9" s="15">
        <f>VLOOKUP(F9,'Counting Free'!$B:$F,4,0)</f>
        <v>2</v>
      </c>
      <c r="I9" s="14">
        <f>VLOOKUP(F9,'Counting Kontrak'!B:E,4,0)</f>
        <v>0</v>
      </c>
      <c r="J9" s="5" t="str">
        <f ca="1">VLOOKUP(F9,'Data Garansi'!$E:$I,5,0)</f>
        <v>Tidak</v>
      </c>
      <c r="K9" s="6">
        <f>VLOOKUP(F9,'Tgl MC Free'!B:M,8,0)</f>
        <v>46119</v>
      </c>
      <c r="L9" s="6">
        <f>VLOOKUP(F9,'Tgl Maintenance untuk Kontrak'!$D:$M,10,0)</f>
        <v>46144</v>
      </c>
      <c r="M9" s="5" t="str">
        <f t="shared" si="0"/>
        <v>May</v>
      </c>
    </row>
    <row r="10" spans="1:17" x14ac:dyDescent="0.3">
      <c r="A10" s="5">
        <v>9</v>
      </c>
      <c r="B10" s="5" t="s">
        <v>362</v>
      </c>
      <c r="C10" s="5" t="s">
        <v>225</v>
      </c>
      <c r="D10" s="6">
        <v>44525</v>
      </c>
      <c r="E10" s="6" t="str">
        <f t="shared" si="1"/>
        <v>Oct</v>
      </c>
      <c r="F10" s="8" t="s">
        <v>20</v>
      </c>
      <c r="G10" s="8" t="s">
        <v>610</v>
      </c>
      <c r="H10" s="15">
        <f>VLOOKUP(F10,'Counting Free'!$B:$F,4,0)</f>
        <v>2</v>
      </c>
      <c r="I10" s="14">
        <f>VLOOKUP(F10,'Counting Kontrak'!B:E,4,0)</f>
        <v>0</v>
      </c>
      <c r="J10" s="5" t="str">
        <f ca="1">VLOOKUP(F10,'Data Garansi'!$E:$I,5,0)</f>
        <v>Tidak</v>
      </c>
      <c r="K10" s="6">
        <f>VLOOKUP(F10,'Tgl MC Free'!B:M,8,0)</f>
        <v>46160</v>
      </c>
      <c r="L10" s="6">
        <f>VLOOKUP(F10,'Tgl Maintenance untuk Kontrak'!$D:$M,10,0)</f>
        <v>46301</v>
      </c>
      <c r="M10" s="5" t="str">
        <f t="shared" si="0"/>
        <v>Oct</v>
      </c>
    </row>
    <row r="11" spans="1:17" x14ac:dyDescent="0.3">
      <c r="A11" s="5">
        <v>10</v>
      </c>
      <c r="B11" s="5" t="s">
        <v>362</v>
      </c>
      <c r="C11" s="5" t="s">
        <v>222</v>
      </c>
      <c r="D11" s="6">
        <v>44539</v>
      </c>
      <c r="E11" s="6" t="str">
        <f t="shared" si="1"/>
        <v>Jun</v>
      </c>
      <c r="F11" s="8" t="s">
        <v>17</v>
      </c>
      <c r="G11" s="8" t="s">
        <v>610</v>
      </c>
      <c r="H11" s="15">
        <f>VLOOKUP(F11,'Counting Free'!$B:$F,4,0)</f>
        <v>0</v>
      </c>
      <c r="I11" s="14">
        <f>VLOOKUP(F11,'Counting Kontrak'!B:E,4,0)</f>
        <v>0</v>
      </c>
      <c r="J11" s="5" t="str">
        <f ca="1">VLOOKUP(F11,'Data Garansi'!$E:$I,5,0)</f>
        <v>Tidak</v>
      </c>
      <c r="K11" s="6">
        <f>VLOOKUP(F11,'Tgl MC Free'!B:M,8,0)</f>
        <v>46158</v>
      </c>
      <c r="L11" s="6">
        <f>VLOOKUP(F11,'Tgl Maintenance untuk Kontrak'!$D:$M,10,0)</f>
        <v>46546</v>
      </c>
      <c r="M11" s="5" t="str">
        <f t="shared" si="0"/>
        <v>Jun</v>
      </c>
    </row>
    <row r="12" spans="1:17" x14ac:dyDescent="0.3">
      <c r="A12" s="5">
        <v>11</v>
      </c>
      <c r="B12" s="5" t="s">
        <v>362</v>
      </c>
      <c r="C12" s="5" t="s">
        <v>226</v>
      </c>
      <c r="D12" s="6">
        <v>44540</v>
      </c>
      <c r="E12" s="6" t="str">
        <f t="shared" si="1"/>
        <v>Apr</v>
      </c>
      <c r="F12" s="8" t="s">
        <v>21</v>
      </c>
      <c r="G12" s="8" t="s">
        <v>612</v>
      </c>
      <c r="H12" s="15">
        <f>VLOOKUP(F12,'Counting Free'!$B:$F,4,0)</f>
        <v>0</v>
      </c>
      <c r="I12" s="14">
        <f>VLOOKUP(F12,'Counting Kontrak'!B:E,4,0)</f>
        <v>0</v>
      </c>
      <c r="J12" s="5" t="str">
        <f ca="1">VLOOKUP(F12,'Data Garansi'!$E:$I,5,0)</f>
        <v>Tidak</v>
      </c>
      <c r="K12" s="6">
        <f>VLOOKUP(F12,'Tgl MC Free'!B:M,8,0)</f>
        <v>46096</v>
      </c>
      <c r="L12" s="6">
        <f>VLOOKUP(F12,'Tgl Maintenance untuk Kontrak'!$D:$M,10,0)</f>
        <v>46127</v>
      </c>
      <c r="M12" s="5" t="str">
        <f t="shared" si="0"/>
        <v>Apr</v>
      </c>
    </row>
    <row r="13" spans="1:17" x14ac:dyDescent="0.3">
      <c r="A13" s="5">
        <v>12</v>
      </c>
      <c r="B13" s="5" t="s">
        <v>362</v>
      </c>
      <c r="C13" s="5" t="s">
        <v>216</v>
      </c>
      <c r="D13" s="6">
        <v>44542</v>
      </c>
      <c r="E13" s="6" t="str">
        <f t="shared" si="1"/>
        <v>Oct</v>
      </c>
      <c r="F13" s="8" t="s">
        <v>11</v>
      </c>
      <c r="G13" s="8" t="s">
        <v>613</v>
      </c>
      <c r="H13" s="15">
        <f>VLOOKUP(F13,'Counting Free'!$B:$F,4,0)</f>
        <v>2</v>
      </c>
      <c r="I13" s="14">
        <f>VLOOKUP(F13,'Counting Kontrak'!B:E,4,0)</f>
        <v>0</v>
      </c>
      <c r="J13" s="5" t="str">
        <f ca="1">VLOOKUP(F13,'Data Garansi'!$E:$I,5,0)</f>
        <v>Tidak</v>
      </c>
      <c r="K13" s="6">
        <f>VLOOKUP(F13,'Tgl MC Free'!B:M,8,0)</f>
        <v>46136</v>
      </c>
      <c r="L13" s="6">
        <f>VLOOKUP(F13,'Tgl Maintenance untuk Kontrak'!$D:$M,10,0)</f>
        <v>45956</v>
      </c>
      <c r="M13" s="5" t="str">
        <f t="shared" si="0"/>
        <v>Oct</v>
      </c>
    </row>
    <row r="14" spans="1:17" x14ac:dyDescent="0.3">
      <c r="A14" s="5">
        <v>13</v>
      </c>
      <c r="B14" s="5" t="s">
        <v>362</v>
      </c>
      <c r="C14" s="5" t="s">
        <v>224</v>
      </c>
      <c r="D14" s="6">
        <v>44551</v>
      </c>
      <c r="E14" s="6" t="str">
        <f t="shared" si="1"/>
        <v>May</v>
      </c>
      <c r="F14" s="8" t="s">
        <v>19</v>
      </c>
      <c r="G14" s="8" t="s">
        <v>614</v>
      </c>
      <c r="H14" s="15">
        <f>VLOOKUP(F14,'Counting Free'!$B:$F,4,0)</f>
        <v>2</v>
      </c>
      <c r="I14" s="14">
        <f>VLOOKUP(F14,'Counting Kontrak'!B:E,4,0)</f>
        <v>0</v>
      </c>
      <c r="J14" s="5" t="str">
        <f ca="1">VLOOKUP(F14,'Data Garansi'!$E:$I,5,0)</f>
        <v>Tidak</v>
      </c>
      <c r="K14" s="6">
        <f>VLOOKUP(F14,'Tgl MC Free'!B:M,8,0)</f>
        <v>46154</v>
      </c>
      <c r="L14" s="6">
        <f>VLOOKUP(F14,'Tgl Maintenance untuk Kontrak'!$D:$M,10,0)</f>
        <v>46514</v>
      </c>
      <c r="M14" s="5" t="str">
        <f t="shared" si="0"/>
        <v>May</v>
      </c>
    </row>
    <row r="15" spans="1:17" x14ac:dyDescent="0.3">
      <c r="A15" s="5">
        <v>14</v>
      </c>
      <c r="B15" s="5" t="s">
        <v>362</v>
      </c>
      <c r="C15" s="5" t="s">
        <v>424</v>
      </c>
      <c r="D15" s="6">
        <v>44557</v>
      </c>
      <c r="E15" s="6" t="str">
        <f t="shared" si="1"/>
        <v>Mar</v>
      </c>
      <c r="F15" s="8" t="s">
        <v>5</v>
      </c>
      <c r="G15" s="8" t="s">
        <v>608</v>
      </c>
      <c r="H15" s="15" t="e">
        <f>VLOOKUP(F15,'Counting Free'!$B:$F,4,0)</f>
        <v>#N/A</v>
      </c>
      <c r="I15" s="14" t="e">
        <f>VLOOKUP(F15,'Counting Kontrak'!B:E,4,0)</f>
        <v>#N/A</v>
      </c>
      <c r="J15" s="5" t="str">
        <f ca="1">VLOOKUP(F15,'Data Garansi'!$E:$I,5,0)</f>
        <v>Tidak</v>
      </c>
      <c r="K15" s="6">
        <f>VLOOKUP(F15,'Tgl MC Free'!B:M,8,0)</f>
        <v>45900</v>
      </c>
      <c r="L15" s="6">
        <f>VLOOKUP(F15,'Tgl Maintenance untuk Kontrak'!$D:$M,10,0)</f>
        <v>45720</v>
      </c>
      <c r="M15" s="5" t="str">
        <f t="shared" si="0"/>
        <v>Mar</v>
      </c>
    </row>
    <row r="16" spans="1:17" x14ac:dyDescent="0.3">
      <c r="A16" s="5">
        <v>15</v>
      </c>
      <c r="B16" s="5" t="s">
        <v>364</v>
      </c>
      <c r="C16" s="5" t="s">
        <v>229</v>
      </c>
      <c r="D16" s="6">
        <v>44571</v>
      </c>
      <c r="E16" s="6" t="str">
        <f t="shared" si="1"/>
        <v>Jul</v>
      </c>
      <c r="F16" s="8" t="s">
        <v>24</v>
      </c>
      <c r="G16" s="8" t="s">
        <v>608</v>
      </c>
      <c r="H16" s="15">
        <f>VLOOKUP(F16,'Counting Free'!$B:$F,4,0)</f>
        <v>0</v>
      </c>
      <c r="I16" s="14">
        <f>VLOOKUP(F16,'Counting Kontrak'!B:E,4,0)</f>
        <v>0</v>
      </c>
      <c r="J16" s="5" t="str">
        <f ca="1">VLOOKUP(F16,'Data Garansi'!$E:$I,5,0)</f>
        <v>Tidak</v>
      </c>
      <c r="K16" s="6">
        <f>VLOOKUP(F16,'Tgl MC Free'!B:M,8,0)</f>
        <v>46097</v>
      </c>
      <c r="L16" s="6">
        <f>VLOOKUP(F16,'Tgl Maintenance untuk Kontrak'!$D:$M,10,0)</f>
        <v>46222</v>
      </c>
      <c r="M16" s="5" t="str">
        <f t="shared" si="0"/>
        <v>Jul</v>
      </c>
    </row>
    <row r="17" spans="1:13" x14ac:dyDescent="0.3">
      <c r="A17" s="5">
        <v>16</v>
      </c>
      <c r="B17" s="5" t="s">
        <v>364</v>
      </c>
      <c r="C17" s="5" t="s">
        <v>236</v>
      </c>
      <c r="D17" s="6">
        <v>44582</v>
      </c>
      <c r="E17" s="6"/>
      <c r="F17" s="8" t="s">
        <v>32</v>
      </c>
      <c r="G17" s="8" t="s">
        <v>610</v>
      </c>
      <c r="H17" s="15">
        <f>VLOOKUP(F17,'Counting Free'!$B:$F,4,0)</f>
        <v>0</v>
      </c>
      <c r="I17" s="14">
        <f>VLOOKUP(F17,'Counting Kontrak'!B:E,4,0)</f>
        <v>0</v>
      </c>
      <c r="J17" s="5" t="str">
        <f ca="1">VLOOKUP(F17,'Data Garansi'!$E:$I,5,0)</f>
        <v>Tidak</v>
      </c>
      <c r="K17" s="6">
        <f>VLOOKUP(F17,'Tgl MC Free'!B:M,8,0)</f>
        <v>45339</v>
      </c>
      <c r="L17" s="6">
        <f>VLOOKUP(F17,'Tgl Maintenance untuk Kontrak'!$D:$M,10,0)</f>
        <v>45159</v>
      </c>
      <c r="M17" s="5" t="str">
        <f t="shared" si="0"/>
        <v>Aug</v>
      </c>
    </row>
    <row r="18" spans="1:13" x14ac:dyDescent="0.3">
      <c r="A18" s="5">
        <v>17</v>
      </c>
      <c r="B18" s="5" t="s">
        <v>362</v>
      </c>
      <c r="C18" s="5" t="s">
        <v>237</v>
      </c>
      <c r="D18" s="6">
        <v>44600</v>
      </c>
      <c r="E18" s="6" t="str">
        <f>TEXT(L18,"mmm")</f>
        <v>Dec</v>
      </c>
      <c r="F18" s="8" t="s">
        <v>33</v>
      </c>
      <c r="G18" s="8" t="s">
        <v>615</v>
      </c>
      <c r="H18" s="15">
        <f>VLOOKUP(F18,'Counting Free'!$B:$F,4,0)</f>
        <v>0</v>
      </c>
      <c r="I18" s="14">
        <f>VLOOKUP(F18,'Counting Kontrak'!B:E,4,0)</f>
        <v>0</v>
      </c>
      <c r="J18" s="5" t="str">
        <f ca="1">VLOOKUP(F18,'Data Garansi'!$E:$I,5,0)</f>
        <v>Tidak</v>
      </c>
      <c r="K18" s="6">
        <f>VLOOKUP(F18,'Tgl MC Free'!B:M,8,0)</f>
        <v>46172</v>
      </c>
      <c r="L18" s="6">
        <f>VLOOKUP(F18,'Tgl Maintenance untuk Kontrak'!$D:$M,10,0)</f>
        <v>45992</v>
      </c>
      <c r="M18" s="5" t="str">
        <f>TEXT(L18,"mmm")</f>
        <v>Dec</v>
      </c>
    </row>
    <row r="19" spans="1:13" x14ac:dyDescent="0.3">
      <c r="A19" s="5">
        <v>18</v>
      </c>
      <c r="B19" s="5" t="s">
        <v>363</v>
      </c>
      <c r="C19" s="5" t="s">
        <v>212</v>
      </c>
      <c r="D19" s="6">
        <v>44601</v>
      </c>
      <c r="E19" s="6"/>
      <c r="F19" s="8" t="s">
        <v>7</v>
      </c>
      <c r="G19" s="8" t="s">
        <v>616</v>
      </c>
      <c r="H19" s="15">
        <f>VLOOKUP(F19,'Counting Free'!$B:$F,4,0)</f>
        <v>2</v>
      </c>
      <c r="I19" s="14">
        <f>VLOOKUP(F19,'Counting Kontrak'!B:E,4,0)</f>
        <v>0</v>
      </c>
      <c r="J19" s="5" t="str">
        <f ca="1">VLOOKUP(F19,'Data Garansi'!$E:$I,5,0)</f>
        <v>Tidak</v>
      </c>
      <c r="K19" s="6">
        <f>VLOOKUP(F19,'Tgl MC Free'!B:M,8,0)</f>
        <v>45482</v>
      </c>
      <c r="L19" s="6">
        <f>VLOOKUP(F19,'Tgl Maintenance untuk Kontrak'!$D:$M,10,0)</f>
        <v>45302</v>
      </c>
      <c r="M19" s="5" t="str">
        <f t="shared" si="0"/>
        <v>Jan</v>
      </c>
    </row>
    <row r="20" spans="1:13" x14ac:dyDescent="0.3">
      <c r="A20" s="5">
        <v>19</v>
      </c>
      <c r="B20" s="5" t="s">
        <v>362</v>
      </c>
      <c r="C20" s="5" t="s">
        <v>215</v>
      </c>
      <c r="D20" s="6">
        <v>44602</v>
      </c>
      <c r="E20" s="6" t="str">
        <f>TEXT(L20,"mmm")</f>
        <v>Dec</v>
      </c>
      <c r="F20" s="8" t="s">
        <v>10</v>
      </c>
      <c r="G20" s="8" t="s">
        <v>617</v>
      </c>
      <c r="H20" s="15">
        <f>VLOOKUP(F20,'Counting Free'!$B:$F,4,0)</f>
        <v>2</v>
      </c>
      <c r="I20" s="14">
        <f>VLOOKUP(F20,'Counting Kontrak'!B:E,4,0)</f>
        <v>0</v>
      </c>
      <c r="J20" s="5" t="str">
        <f ca="1">VLOOKUP(F20,'Data Garansi'!$E:$I,5,0)</f>
        <v>Tidak</v>
      </c>
      <c r="K20" s="6">
        <f>VLOOKUP(F20,'Tgl MC Free'!B:M,8,0)</f>
        <v>46005</v>
      </c>
      <c r="L20" s="6">
        <f>VLOOKUP(F20,'Tgl Maintenance untuk Kontrak'!$D:$M,10,0)</f>
        <v>45645</v>
      </c>
      <c r="M20" s="5" t="str">
        <f>TEXT(L20,"mmm")</f>
        <v>Dec</v>
      </c>
    </row>
    <row r="21" spans="1:13" x14ac:dyDescent="0.3">
      <c r="A21" s="5">
        <v>20</v>
      </c>
      <c r="B21" s="5" t="s">
        <v>362</v>
      </c>
      <c r="C21" s="5" t="s">
        <v>211</v>
      </c>
      <c r="D21" s="6">
        <v>44610</v>
      </c>
      <c r="E21" s="6" t="str">
        <f>TEXT(L21,"mmm")</f>
        <v>Jan</v>
      </c>
      <c r="F21" s="8" t="s">
        <v>6</v>
      </c>
      <c r="G21" s="8" t="s">
        <v>618</v>
      </c>
      <c r="H21" s="15">
        <f>VLOOKUP(F21,'Counting Free'!$B:$F,4,0)</f>
        <v>1</v>
      </c>
      <c r="I21" s="14">
        <f>VLOOKUP(F21,'Counting Kontrak'!B:E,4,0)</f>
        <v>0</v>
      </c>
      <c r="J21" s="5" t="str">
        <f ca="1">VLOOKUP(F21,'Data Garansi'!$E:$I,5,0)</f>
        <v>Tidak</v>
      </c>
      <c r="K21" s="6">
        <f>VLOOKUP(F21,'Tgl MC Free'!B:M,8,0)</f>
        <v>45856</v>
      </c>
      <c r="L21" s="6">
        <f>VLOOKUP(F21,'Tgl Maintenance untuk Kontrak'!$D:$M,10,0)</f>
        <v>45676</v>
      </c>
      <c r="M21" s="5" t="str">
        <f>TEXT(L21,"mmm")</f>
        <v>Jan</v>
      </c>
    </row>
    <row r="22" spans="1:13" x14ac:dyDescent="0.3">
      <c r="A22" s="5">
        <v>21</v>
      </c>
      <c r="B22" s="5" t="s">
        <v>367</v>
      </c>
      <c r="C22" s="5" t="s">
        <v>244</v>
      </c>
      <c r="D22" s="6">
        <v>44622</v>
      </c>
      <c r="E22" s="6" t="str">
        <f>TEXT(L22,"mmm")</f>
        <v>Mar</v>
      </c>
      <c r="F22" s="8" t="s">
        <v>41</v>
      </c>
      <c r="G22" s="8" t="s">
        <v>613</v>
      </c>
      <c r="H22" s="15">
        <f>VLOOKUP(F22,'Counting Free'!$B:$F,4,0)</f>
        <v>0</v>
      </c>
      <c r="I22" s="14">
        <f>VLOOKUP(F22,'Counting Kontrak'!B:E,4,0)</f>
        <v>0</v>
      </c>
      <c r="J22" s="5" t="str">
        <f ca="1">VLOOKUP(F22,'Data Garansi'!$E:$I,5,0)</f>
        <v>Tidak</v>
      </c>
      <c r="K22" s="6">
        <f>VLOOKUP(F22,'Tgl MC Free'!B:M,8,0)</f>
        <v>46034</v>
      </c>
      <c r="L22" s="6">
        <f>VLOOKUP(F22,'Tgl Maintenance untuk Kontrak'!$D:$M,10,0)</f>
        <v>46084</v>
      </c>
      <c r="M22" s="5" t="str">
        <f>TEXT(L22,"mmm")</f>
        <v>Mar</v>
      </c>
    </row>
    <row r="23" spans="1:13" x14ac:dyDescent="0.3">
      <c r="A23" s="5">
        <v>22</v>
      </c>
      <c r="B23" s="5" t="s">
        <v>367</v>
      </c>
      <c r="C23" s="5" t="s">
        <v>247</v>
      </c>
      <c r="D23" s="6">
        <v>44622</v>
      </c>
      <c r="E23" s="6" t="str">
        <f>TEXT(L23,"mmm")</f>
        <v>Feb</v>
      </c>
      <c r="F23" s="8" t="s">
        <v>44</v>
      </c>
      <c r="G23" s="8" t="s">
        <v>610</v>
      </c>
      <c r="H23" s="15">
        <f>VLOOKUP(F23,'Counting Free'!$B:$F,4,0)</f>
        <v>0</v>
      </c>
      <c r="I23" s="14">
        <f>VLOOKUP(F23,'Counting Kontrak'!B:E,4,0)</f>
        <v>0</v>
      </c>
      <c r="J23" s="5" t="str">
        <f ca="1">VLOOKUP(F23,'Data Garansi'!$E:$I,5,0)</f>
        <v>Tidak</v>
      </c>
      <c r="K23" s="6">
        <f>VLOOKUP(F23,'Tgl MC Free'!B:M,8,0)</f>
        <v>46077</v>
      </c>
      <c r="L23" s="6">
        <f>VLOOKUP(F23,'Tgl Maintenance untuk Kontrak'!$D:$M,10,0)</f>
        <v>46060</v>
      </c>
      <c r="M23" s="5" t="str">
        <f>TEXT(L23,"mmm")</f>
        <v>Feb</v>
      </c>
    </row>
    <row r="24" spans="1:13" x14ac:dyDescent="0.3">
      <c r="A24" s="5">
        <v>23</v>
      </c>
      <c r="B24" s="5" t="s">
        <v>362</v>
      </c>
      <c r="C24" s="5" t="s">
        <v>210</v>
      </c>
      <c r="D24" s="6">
        <v>44624</v>
      </c>
      <c r="E24" s="6" t="str">
        <f>TEXT(L24,"mmm")</f>
        <v>Mar</v>
      </c>
      <c r="F24" s="8" t="s">
        <v>5</v>
      </c>
      <c r="G24" s="8" t="s">
        <v>608</v>
      </c>
      <c r="H24" s="15" t="e">
        <f>VLOOKUP(F24,'Counting Free'!$B:$F,4,0)</f>
        <v>#N/A</v>
      </c>
      <c r="I24" s="14" t="e">
        <f>VLOOKUP(F24,'Counting Kontrak'!B:E,4,0)</f>
        <v>#N/A</v>
      </c>
      <c r="J24" s="5" t="str">
        <f ca="1">VLOOKUP(F24,'Data Garansi'!$E:$I,5,0)</f>
        <v>Tidak</v>
      </c>
      <c r="K24" s="6">
        <f>VLOOKUP(F24,'Tgl MC Free'!B:M,8,0)</f>
        <v>45900</v>
      </c>
      <c r="L24" s="6">
        <f>VLOOKUP(F24,'Tgl Maintenance untuk Kontrak'!$D:$M,10,0)</f>
        <v>45720</v>
      </c>
      <c r="M24" s="5" t="str">
        <f>TEXT(L24,"mmm")</f>
        <v>Mar</v>
      </c>
    </row>
    <row r="25" spans="1:13" x14ac:dyDescent="0.3">
      <c r="A25" s="5">
        <v>24</v>
      </c>
      <c r="B25" s="5" t="s">
        <v>363</v>
      </c>
      <c r="C25" s="5" t="s">
        <v>217</v>
      </c>
      <c r="D25" s="6">
        <v>44628</v>
      </c>
      <c r="E25" s="6"/>
      <c r="F25" s="8" t="s">
        <v>12</v>
      </c>
      <c r="G25" s="8" t="s">
        <v>610</v>
      </c>
      <c r="H25" s="15">
        <f>VLOOKUP(F25,'Counting Free'!$B:$F,4,0)</f>
        <v>2</v>
      </c>
      <c r="I25" s="14">
        <f>VLOOKUP(F25,'Counting Kontrak'!B:E,4,0)</f>
        <v>0</v>
      </c>
      <c r="J25" s="5" t="str">
        <f ca="1">VLOOKUP(F25,'Data Garansi'!$E:$I,5,0)</f>
        <v>Tidak</v>
      </c>
      <c r="K25" s="6">
        <f>VLOOKUP(F25,'Tgl MC Free'!B:M,8,0)</f>
        <v>45662</v>
      </c>
      <c r="L25" s="6">
        <f>VLOOKUP(F25,'Tgl Maintenance untuk Kontrak'!$D:$M,10,0)</f>
        <v>46242</v>
      </c>
    </row>
    <row r="26" spans="1:13" x14ac:dyDescent="0.3">
      <c r="A26" s="5">
        <v>25</v>
      </c>
      <c r="B26" s="5" t="s">
        <v>362</v>
      </c>
      <c r="C26" s="5" t="s">
        <v>240</v>
      </c>
      <c r="D26" s="6">
        <v>44629</v>
      </c>
      <c r="E26" s="6"/>
      <c r="F26" s="8" t="s">
        <v>36</v>
      </c>
      <c r="G26" s="8" t="s">
        <v>619</v>
      </c>
      <c r="H26" s="15">
        <f>VLOOKUP(F26,'Counting Free'!$B:$F,4,0)</f>
        <v>0</v>
      </c>
      <c r="I26" s="14">
        <f>VLOOKUP(F26,'Counting Kontrak'!B:E,4,0)</f>
        <v>0</v>
      </c>
      <c r="J26" s="5" t="str">
        <f ca="1">VLOOKUP(F26,'Data Garansi'!$E:$I,5,0)</f>
        <v>Tidak</v>
      </c>
      <c r="K26" s="6">
        <f>VLOOKUP(F26,'Tgl MC Free'!B:M,8,0)</f>
        <v>45734</v>
      </c>
      <c r="L26" s="6">
        <f>VLOOKUP(F26,'Tgl Maintenance untuk Kontrak'!$D:$M,10,0)</f>
        <v>45554</v>
      </c>
    </row>
    <row r="27" spans="1:13" x14ac:dyDescent="0.3">
      <c r="A27" s="5">
        <v>26</v>
      </c>
      <c r="B27" s="5" t="s">
        <v>361</v>
      </c>
      <c r="C27" s="5">
        <v>192</v>
      </c>
      <c r="D27" s="6">
        <v>44635</v>
      </c>
      <c r="E27" s="6"/>
      <c r="F27" t="s">
        <v>660</v>
      </c>
      <c r="G27" s="8" t="s">
        <v>614</v>
      </c>
      <c r="H27" s="15" t="e">
        <f>VLOOKUP(F27,'Counting Free'!$B:$F,4,0)</f>
        <v>#N/A</v>
      </c>
      <c r="I27" s="14" t="e">
        <f>VLOOKUP(F27,'Counting Kontrak'!B:E,4,0)</f>
        <v>#N/A</v>
      </c>
      <c r="J27" s="5" t="e">
        <f>VLOOKUP(F27,'Data Garansi'!$E:$I,5,0)</f>
        <v>#N/A</v>
      </c>
      <c r="K27" s="6" t="e">
        <f>VLOOKUP(F27,'Tgl MC Free'!B:M,8,0)</f>
        <v>#N/A</v>
      </c>
      <c r="L27" s="6">
        <f>VLOOKUP(F27,'Tgl Maintenance untuk Kontrak'!$D:$M,10,0)</f>
        <v>46163</v>
      </c>
    </row>
    <row r="28" spans="1:13" x14ac:dyDescent="0.3">
      <c r="A28" s="5">
        <v>27</v>
      </c>
      <c r="B28" s="5" t="s">
        <v>364</v>
      </c>
      <c r="C28" s="5" t="s">
        <v>259</v>
      </c>
      <c r="D28" s="6">
        <v>44639</v>
      </c>
      <c r="E28" s="6" t="str">
        <f>TEXT(L28,"mmm")</f>
        <v>Aug</v>
      </c>
      <c r="F28" s="8" t="s">
        <v>57</v>
      </c>
      <c r="G28" s="8" t="s">
        <v>608</v>
      </c>
      <c r="H28" s="15">
        <f>VLOOKUP(F28,'Counting Free'!$B:$F,4,0)</f>
        <v>0</v>
      </c>
      <c r="I28" s="14">
        <f>VLOOKUP(F28,'Counting Kontrak'!B:E,4,0)</f>
        <v>0</v>
      </c>
      <c r="J28" s="5" t="str">
        <f ca="1">VLOOKUP(F28,'Data Garansi'!$E:$I,5,0)</f>
        <v>Tidak</v>
      </c>
      <c r="K28" s="6">
        <f>VLOOKUP(F28,'Tgl MC Free'!B:M,8,0)</f>
        <v>46160</v>
      </c>
      <c r="L28" s="6">
        <f>VLOOKUP(F28,'Tgl Maintenance untuk Kontrak'!$D:$M,10,0)</f>
        <v>46235</v>
      </c>
      <c r="M28" s="5" t="str">
        <f>TEXT(L28,"mmm")</f>
        <v>Aug</v>
      </c>
    </row>
    <row r="29" spans="1:13" x14ac:dyDescent="0.3">
      <c r="A29" s="5">
        <v>28</v>
      </c>
      <c r="B29" s="5" t="s">
        <v>362</v>
      </c>
      <c r="C29" s="5" t="s">
        <v>242</v>
      </c>
      <c r="D29" s="6">
        <v>44644</v>
      </c>
      <c r="E29" s="6" t="str">
        <f>TEXT(L29,"mmm")</f>
        <v>Jun</v>
      </c>
      <c r="F29" s="8" t="s">
        <v>39</v>
      </c>
      <c r="G29" s="8" t="s">
        <v>614</v>
      </c>
      <c r="H29" s="15">
        <f>VLOOKUP(F29,'Counting Free'!$B:$F,4,0)</f>
        <v>0</v>
      </c>
      <c r="I29" s="14">
        <f>VLOOKUP(F29,'Counting Kontrak'!B:E,4,0)</f>
        <v>0</v>
      </c>
      <c r="J29" s="5" t="str">
        <f ca="1">VLOOKUP(F29,'Data Garansi'!$E:$I,5,0)</f>
        <v>Tidak</v>
      </c>
      <c r="K29" s="6">
        <f>VLOOKUP(F29,'Tgl MC Free'!B:M,8,0)</f>
        <v>46192</v>
      </c>
      <c r="L29" s="6">
        <f>VLOOKUP(F29,'Tgl Maintenance untuk Kontrak'!$D:$M,10,0)</f>
        <v>46545</v>
      </c>
      <c r="M29" s="5" t="str">
        <f>TEXT(L29,"mmm")</f>
        <v>Jun</v>
      </c>
    </row>
    <row r="30" spans="1:13" x14ac:dyDescent="0.3">
      <c r="A30" s="5">
        <v>29</v>
      </c>
      <c r="B30" s="5" t="s">
        <v>362</v>
      </c>
      <c r="C30" s="5" t="s">
        <v>252</v>
      </c>
      <c r="D30" s="6">
        <v>44653</v>
      </c>
      <c r="E30" s="6"/>
      <c r="F30" s="8" t="s">
        <v>49</v>
      </c>
      <c r="G30" s="8" t="s">
        <v>608</v>
      </c>
      <c r="H30" s="15">
        <f>VLOOKUP(F30,'Counting Free'!$B:$F,4,0)</f>
        <v>0</v>
      </c>
      <c r="I30" s="14">
        <f>VLOOKUP(F30,'Counting Kontrak'!B:E,4,0)</f>
        <v>0</v>
      </c>
      <c r="J30" s="5" t="str">
        <f ca="1">VLOOKUP(F30,'Data Garansi'!$E:$I,5,0)</f>
        <v>Tidak</v>
      </c>
      <c r="K30" s="6">
        <f>VLOOKUP(F30,'Tgl MC Free'!B:M,8,0)</f>
        <v>360</v>
      </c>
      <c r="L30" s="6">
        <f>VLOOKUP(F30,'Tgl Maintenance untuk Kontrak'!$D:$M,10,0)</f>
        <v>46072</v>
      </c>
    </row>
    <row r="31" spans="1:13" x14ac:dyDescent="0.3">
      <c r="A31" s="5">
        <v>30</v>
      </c>
      <c r="B31" s="5" t="s">
        <v>367</v>
      </c>
      <c r="C31" s="5" t="s">
        <v>248</v>
      </c>
      <c r="D31" s="6">
        <v>44656</v>
      </c>
      <c r="E31" s="6" t="str">
        <f>TEXT(L31,"mmm")</f>
        <v>Aug</v>
      </c>
      <c r="F31" s="8" t="s">
        <v>45</v>
      </c>
      <c r="G31" s="8" t="s">
        <v>620</v>
      </c>
      <c r="H31" s="15">
        <f>VLOOKUP(F31,'Counting Free'!$B:$F,4,0)</f>
        <v>0</v>
      </c>
      <c r="I31" s="14">
        <f>VLOOKUP(F31,'Counting Kontrak'!B:E,4,0)</f>
        <v>0</v>
      </c>
      <c r="J31" s="5" t="str">
        <f ca="1">VLOOKUP(F31,'Data Garansi'!$E:$I,5,0)</f>
        <v>Tidak</v>
      </c>
      <c r="K31" s="6">
        <f>VLOOKUP(F31,'Tgl MC Free'!B:M,8,0)</f>
        <v>46068</v>
      </c>
      <c r="L31" s="6">
        <f>VLOOKUP(F31,'Tgl Maintenance untuk Kontrak'!$D:$M,10,0)</f>
        <v>45888</v>
      </c>
      <c r="M31" s="5" t="str">
        <f>TEXT(L31,"mmm")</f>
        <v>Aug</v>
      </c>
    </row>
    <row r="32" spans="1:13" x14ac:dyDescent="0.3">
      <c r="A32" s="5">
        <v>31</v>
      </c>
      <c r="B32" s="5" t="s">
        <v>364</v>
      </c>
      <c r="C32" s="5" t="s">
        <v>223</v>
      </c>
      <c r="D32" s="6">
        <v>44659</v>
      </c>
      <c r="E32" s="6"/>
      <c r="F32" s="8" t="s">
        <v>18</v>
      </c>
      <c r="G32" s="8" t="s">
        <v>621</v>
      </c>
      <c r="H32" s="15">
        <f>VLOOKUP(F32,'Counting Free'!$B:$F,4,0)</f>
        <v>0</v>
      </c>
      <c r="I32" s="14">
        <f>VLOOKUP(F32,'Counting Kontrak'!B:E,4,0)</f>
        <v>0</v>
      </c>
      <c r="J32" s="5" t="str">
        <f ca="1">VLOOKUP(F32,'Data Garansi'!$E:$I,5,0)</f>
        <v>Tidak</v>
      </c>
      <c r="K32" s="6">
        <f>VLOOKUP(F32,'Tgl MC Free'!B:M,8,0)</f>
        <v>360</v>
      </c>
      <c r="L32" s="6">
        <f>VLOOKUP(F32,'Tgl Maintenance untuk Kontrak'!$D:$M,10,0)</f>
        <v>180</v>
      </c>
    </row>
    <row r="33" spans="1:13" x14ac:dyDescent="0.3">
      <c r="A33" s="5">
        <v>32</v>
      </c>
      <c r="B33" s="5" t="s">
        <v>368</v>
      </c>
      <c r="C33" s="5" t="s">
        <v>246</v>
      </c>
      <c r="D33" s="6">
        <v>44667</v>
      </c>
      <c r="E33" s="6"/>
      <c r="F33" s="8" t="s">
        <v>43</v>
      </c>
      <c r="G33" s="8" t="s">
        <v>608</v>
      </c>
      <c r="H33" s="15">
        <f>VLOOKUP(F33,'Counting Free'!$B:$F,4,0)</f>
        <v>0</v>
      </c>
      <c r="I33" s="14">
        <f>VLOOKUP(F33,'Counting Kontrak'!B:E,4,0)</f>
        <v>0</v>
      </c>
      <c r="J33" s="5" t="str">
        <f ca="1">VLOOKUP(F33,'Data Garansi'!$E:$I,5,0)</f>
        <v>Tidak</v>
      </c>
      <c r="K33" s="6">
        <f>VLOOKUP(F33,'Tgl MC Free'!B:M,8,0)</f>
        <v>360</v>
      </c>
      <c r="L33" s="6">
        <f>VLOOKUP(F33,'Tgl Maintenance untuk Kontrak'!$D:$M,10,0)</f>
        <v>46287</v>
      </c>
    </row>
    <row r="34" spans="1:13" x14ac:dyDescent="0.3">
      <c r="A34" s="5">
        <v>33</v>
      </c>
      <c r="B34" s="5" t="s">
        <v>361</v>
      </c>
      <c r="C34" s="5">
        <v>191</v>
      </c>
      <c r="D34" s="6">
        <v>44668</v>
      </c>
      <c r="E34" s="6" t="str">
        <f>TEXT(L34,"mmm")</f>
        <v>Oct</v>
      </c>
      <c r="F34" s="8" t="s">
        <v>80</v>
      </c>
      <c r="G34" s="8" t="s">
        <v>622</v>
      </c>
      <c r="H34" s="15">
        <f>VLOOKUP(F34,'Counting Free'!$B:$F,4,0)</f>
        <v>0</v>
      </c>
      <c r="I34" s="14">
        <f>VLOOKUP(F34,'Counting Kontrak'!B:E,4,0)</f>
        <v>0</v>
      </c>
      <c r="J34" s="5" t="str">
        <f ca="1">VLOOKUP(F34,'Data Garansi'!$E:$I,5,0)</f>
        <v>Tidak</v>
      </c>
      <c r="K34" s="6">
        <f>VLOOKUP(F34,'Tgl MC Free'!B:M,8,0)</f>
        <v>46125</v>
      </c>
      <c r="L34" s="6">
        <f>VLOOKUP(F34,'Tgl Maintenance untuk Kontrak'!$D:$M,10,0)</f>
        <v>45945</v>
      </c>
      <c r="M34" s="5" t="str">
        <f>TEXT(L34,"mmm")</f>
        <v>Oct</v>
      </c>
    </row>
    <row r="35" spans="1:13" x14ac:dyDescent="0.3">
      <c r="A35" s="5">
        <v>34</v>
      </c>
      <c r="B35" s="5" t="s">
        <v>362</v>
      </c>
      <c r="C35" s="5" t="s">
        <v>239</v>
      </c>
      <c r="D35" s="6">
        <v>44669</v>
      </c>
      <c r="E35" s="6"/>
      <c r="F35" s="8" t="s">
        <v>35</v>
      </c>
      <c r="G35" s="8" t="s">
        <v>623</v>
      </c>
      <c r="H35" s="15">
        <f>VLOOKUP(F35,'Counting Free'!$B:$F,4,0)</f>
        <v>0</v>
      </c>
      <c r="I35" s="14">
        <f>VLOOKUP(F35,'Counting Kontrak'!B:E,4,0)</f>
        <v>0</v>
      </c>
      <c r="J35" s="5" t="str">
        <f ca="1">VLOOKUP(F35,'Data Garansi'!$E:$I,5,0)</f>
        <v>Tidak</v>
      </c>
      <c r="K35" s="6">
        <f>VLOOKUP(F35,'Tgl MC Free'!B:M,8,0)</f>
        <v>45589</v>
      </c>
      <c r="L35" s="6">
        <f>VLOOKUP(F35,'Tgl Maintenance untuk Kontrak'!$D:$M,10,0)</f>
        <v>46063</v>
      </c>
    </row>
    <row r="36" spans="1:13" x14ac:dyDescent="0.3">
      <c r="A36" s="5">
        <v>35</v>
      </c>
      <c r="B36" s="5" t="s">
        <v>362</v>
      </c>
      <c r="C36" s="5" t="s">
        <v>235</v>
      </c>
      <c r="D36" s="6">
        <v>44671</v>
      </c>
      <c r="E36" s="6" t="str">
        <f>TEXT(L36,"mmm")</f>
        <v>May</v>
      </c>
      <c r="F36" s="8" t="s">
        <v>30</v>
      </c>
      <c r="G36" s="8" t="s">
        <v>622</v>
      </c>
      <c r="H36" s="15">
        <f>VLOOKUP(F36,'Counting Free'!$B:$F,4,0)</f>
        <v>0</v>
      </c>
      <c r="I36" s="14">
        <f>VLOOKUP(F36,'Counting Kontrak'!B:E,4,0)</f>
        <v>0</v>
      </c>
      <c r="J36" s="5" t="str">
        <f ca="1">VLOOKUP(F36,'Data Garansi'!$E:$I,5,0)</f>
        <v>Tidak</v>
      </c>
      <c r="K36" s="6">
        <f>VLOOKUP(F36,'Tgl MC Free'!B:M,8,0)</f>
        <v>45982</v>
      </c>
      <c r="L36" s="6">
        <f>VLOOKUP(F36,'Tgl Maintenance untuk Kontrak'!$D:$M,10,0)</f>
        <v>45802</v>
      </c>
      <c r="M36" s="5" t="str">
        <f>TEXT(L36,"mmm")</f>
        <v>May</v>
      </c>
    </row>
    <row r="37" spans="1:13" x14ac:dyDescent="0.3">
      <c r="A37" s="5">
        <v>36</v>
      </c>
      <c r="B37" s="5" t="s">
        <v>361</v>
      </c>
      <c r="C37" s="5">
        <v>188</v>
      </c>
      <c r="D37" s="6">
        <v>44674</v>
      </c>
      <c r="E37" s="6" t="str">
        <f>TEXT(L37,"mmm")</f>
        <v>Mar</v>
      </c>
      <c r="F37" s="8" t="s">
        <v>62</v>
      </c>
      <c r="G37" s="8" t="s">
        <v>624</v>
      </c>
      <c r="H37" s="15">
        <f>VLOOKUP(F37,'Counting Free'!$B:$F,4,0)</f>
        <v>0</v>
      </c>
      <c r="I37" s="14">
        <f>VLOOKUP(F37,'Counting Kontrak'!B:E,4,0)</f>
        <v>0</v>
      </c>
      <c r="J37" s="5" t="str">
        <f ca="1">VLOOKUP(F37,'Data Garansi'!$E:$I,5,0)</f>
        <v>Tidak</v>
      </c>
      <c r="K37" s="6">
        <f>VLOOKUP(F37,'Tgl MC Free'!B:M,8,0)</f>
        <v>46011</v>
      </c>
      <c r="L37" s="6">
        <f>VLOOKUP(F37,'Tgl Maintenance untuk Kontrak'!$D:$M,10,0)</f>
        <v>46097</v>
      </c>
      <c r="M37" s="5" t="str">
        <f>TEXT(L37,"mmm")</f>
        <v>Mar</v>
      </c>
    </row>
    <row r="38" spans="1:13" x14ac:dyDescent="0.3">
      <c r="A38" s="5">
        <v>37</v>
      </c>
      <c r="B38" s="5" t="s">
        <v>367</v>
      </c>
      <c r="C38" s="5" t="s">
        <v>257</v>
      </c>
      <c r="D38" s="6">
        <v>44679</v>
      </c>
      <c r="E38" s="6"/>
      <c r="F38" s="8" t="s">
        <v>54</v>
      </c>
      <c r="G38" s="8" t="s">
        <v>608</v>
      </c>
      <c r="H38" s="15">
        <f>VLOOKUP(F38,'Counting Free'!$B:$F,4,0)</f>
        <v>0</v>
      </c>
      <c r="I38" s="14">
        <f>VLOOKUP(F38,'Counting Kontrak'!B:E,4,0)</f>
        <v>0</v>
      </c>
      <c r="J38" s="5" t="str">
        <f ca="1">VLOOKUP(F38,'Data Garansi'!$E:$I,5,0)</f>
        <v>Tidak</v>
      </c>
      <c r="K38" s="6">
        <f>VLOOKUP(F38,'Tgl MC Free'!B:M,8,0)</f>
        <v>45726</v>
      </c>
      <c r="L38" s="6">
        <f>VLOOKUP(F38,'Tgl Maintenance untuk Kontrak'!$D:$M,10,0)</f>
        <v>45546</v>
      </c>
    </row>
    <row r="39" spans="1:13" x14ac:dyDescent="0.3">
      <c r="A39" s="5">
        <v>38</v>
      </c>
      <c r="B39" s="5" t="s">
        <v>363</v>
      </c>
      <c r="C39" s="5" t="s">
        <v>234</v>
      </c>
      <c r="D39" s="6">
        <v>44681</v>
      </c>
      <c r="E39" s="6" t="str">
        <f t="shared" ref="E39:E46" si="2">TEXT(L39,"mmm")</f>
        <v>Feb</v>
      </c>
      <c r="F39" s="8" t="s">
        <v>29</v>
      </c>
      <c r="G39" s="8" t="s">
        <v>625</v>
      </c>
      <c r="H39" s="15">
        <f>VLOOKUP(F39,'Counting Free'!$B:$F,4,0)</f>
        <v>0</v>
      </c>
      <c r="I39" s="14">
        <f>VLOOKUP(F39,'Counting Kontrak'!B:E,4,0)</f>
        <v>0</v>
      </c>
      <c r="J39" s="5" t="str">
        <f ca="1">VLOOKUP(F39,'Data Garansi'!$E:$I,5,0)</f>
        <v>Tidak</v>
      </c>
      <c r="K39" s="6">
        <f>VLOOKUP(F39,'Tgl MC Free'!B:M,8,0)</f>
        <v>46243</v>
      </c>
      <c r="L39" s="6">
        <f>VLOOKUP(F39,'Tgl Maintenance untuk Kontrak'!$D:$M,10,0)</f>
        <v>45698</v>
      </c>
      <c r="M39" s="5" t="str">
        <f t="shared" ref="M39:M46" si="3">TEXT(L39,"mmm")</f>
        <v>Feb</v>
      </c>
    </row>
    <row r="40" spans="1:13" x14ac:dyDescent="0.3">
      <c r="A40" s="5">
        <v>39</v>
      </c>
      <c r="B40" s="5" t="s">
        <v>367</v>
      </c>
      <c r="C40" s="5" t="s">
        <v>262</v>
      </c>
      <c r="D40" s="6">
        <v>44681</v>
      </c>
      <c r="E40" s="6" t="str">
        <f t="shared" si="2"/>
        <v>May</v>
      </c>
      <c r="F40" s="8" t="s">
        <v>60</v>
      </c>
      <c r="G40" s="8" t="s">
        <v>618</v>
      </c>
      <c r="H40" s="15">
        <f>VLOOKUP(F40,'Counting Free'!$B:$F,4,0)</f>
        <v>0</v>
      </c>
      <c r="I40" s="14">
        <f>VLOOKUP(F40,'Counting Kontrak'!B:E,4,0)</f>
        <v>0</v>
      </c>
      <c r="J40" s="5" t="str">
        <f ca="1">VLOOKUP(F40,'Data Garansi'!$E:$I,5,0)</f>
        <v>Tidak</v>
      </c>
      <c r="K40" s="6">
        <f>VLOOKUP(F40,'Tgl MC Free'!B:M,8,0)</f>
        <v>46126</v>
      </c>
      <c r="L40" s="6">
        <f>VLOOKUP(F40,'Tgl Maintenance untuk Kontrak'!$D:$M,10,0)</f>
        <v>46168</v>
      </c>
      <c r="M40" s="5" t="str">
        <f t="shared" si="3"/>
        <v>May</v>
      </c>
    </row>
    <row r="41" spans="1:13" x14ac:dyDescent="0.3">
      <c r="A41" s="5">
        <v>40</v>
      </c>
      <c r="B41" s="5" t="s">
        <v>365</v>
      </c>
      <c r="C41" s="5" t="s">
        <v>221</v>
      </c>
      <c r="D41" s="6">
        <v>44710</v>
      </c>
      <c r="E41" s="6" t="str">
        <f t="shared" si="2"/>
        <v>Feb</v>
      </c>
      <c r="F41" s="8" t="s">
        <v>31</v>
      </c>
      <c r="G41" s="8" t="s">
        <v>626</v>
      </c>
      <c r="H41" s="15">
        <f>VLOOKUP(F41,'Counting Free'!$B:$F,4,0)</f>
        <v>2</v>
      </c>
      <c r="I41" s="14">
        <f>VLOOKUP(F41,'Counting Kontrak'!B:E,4,0)</f>
        <v>0</v>
      </c>
      <c r="J41" s="5" t="str">
        <f ca="1">VLOOKUP(F41,'Data Garansi'!$E:$I,5,0)</f>
        <v>Tidak</v>
      </c>
      <c r="K41" s="6">
        <f>VLOOKUP(F41,'Tgl MC Free'!B:M,8,0)</f>
        <v>45859</v>
      </c>
      <c r="L41" s="6">
        <f>VLOOKUP(F41,'Tgl Maintenance untuk Kontrak'!$D:$M,10,0)</f>
        <v>46077</v>
      </c>
      <c r="M41" s="5" t="str">
        <f t="shared" si="3"/>
        <v>Feb</v>
      </c>
    </row>
    <row r="42" spans="1:13" x14ac:dyDescent="0.3">
      <c r="A42" s="5">
        <v>41</v>
      </c>
      <c r="B42" s="5" t="s">
        <v>362</v>
      </c>
      <c r="C42" s="5" t="s">
        <v>241</v>
      </c>
      <c r="D42" s="6">
        <v>44711</v>
      </c>
      <c r="E42" s="6" t="str">
        <f t="shared" si="2"/>
        <v>Feb</v>
      </c>
      <c r="F42" s="8" t="s">
        <v>37</v>
      </c>
      <c r="G42" s="8" t="s">
        <v>615</v>
      </c>
      <c r="H42" s="15">
        <f>VLOOKUP(F42,'Counting Free'!$B:$F,4,0)</f>
        <v>0</v>
      </c>
      <c r="I42" s="14">
        <f>VLOOKUP(F42,'Counting Kontrak'!B:E,4,0)</f>
        <v>0</v>
      </c>
      <c r="J42" s="5" t="str">
        <f ca="1">VLOOKUP(F42,'Data Garansi'!$E:$I,5,0)</f>
        <v>Tidak</v>
      </c>
      <c r="K42" s="6">
        <f>VLOOKUP(F42,'Tgl MC Free'!B:M,8,0)</f>
        <v>46055</v>
      </c>
      <c r="L42" s="6">
        <f>VLOOKUP(F42,'Tgl Maintenance untuk Kontrak'!$D:$M,10,0)</f>
        <v>46074</v>
      </c>
      <c r="M42" s="5" t="str">
        <f t="shared" si="3"/>
        <v>Feb</v>
      </c>
    </row>
    <row r="43" spans="1:13" x14ac:dyDescent="0.3">
      <c r="A43" s="5">
        <v>42</v>
      </c>
      <c r="B43" s="5" t="s">
        <v>367</v>
      </c>
      <c r="C43" s="5" t="s">
        <v>270</v>
      </c>
      <c r="D43" s="6">
        <v>44713</v>
      </c>
      <c r="E43" s="6" t="str">
        <f t="shared" si="2"/>
        <v>Aug</v>
      </c>
      <c r="F43" s="8" t="s">
        <v>67</v>
      </c>
      <c r="G43" s="8" t="s">
        <v>610</v>
      </c>
      <c r="H43" s="15">
        <f>VLOOKUP(F43,'Counting Free'!$B:$F,4,0)</f>
        <v>0</v>
      </c>
      <c r="I43" s="14">
        <f>VLOOKUP(F43,'Counting Kontrak'!B:E,4,0)</f>
        <v>0</v>
      </c>
      <c r="J43" s="5" t="str">
        <f ca="1">VLOOKUP(F43,'Data Garansi'!$E:$I,5,0)</f>
        <v>Tidak</v>
      </c>
      <c r="K43" s="6">
        <f>VLOOKUP(F43,'Tgl MC Free'!B:M,8,0)</f>
        <v>46069</v>
      </c>
      <c r="L43" s="6">
        <f>VLOOKUP(F43,'Tgl Maintenance untuk Kontrak'!$D:$M,10,0)</f>
        <v>46256</v>
      </c>
      <c r="M43" s="5" t="str">
        <f t="shared" si="3"/>
        <v>Aug</v>
      </c>
    </row>
    <row r="44" spans="1:13" x14ac:dyDescent="0.3">
      <c r="A44" s="5">
        <v>43</v>
      </c>
      <c r="B44" s="5" t="s">
        <v>362</v>
      </c>
      <c r="C44" s="5" t="s">
        <v>230</v>
      </c>
      <c r="D44" s="6">
        <v>44722</v>
      </c>
      <c r="E44" s="6" t="str">
        <f t="shared" si="2"/>
        <v>Nov</v>
      </c>
      <c r="F44" s="8" t="s">
        <v>25</v>
      </c>
      <c r="G44" s="8" t="s">
        <v>613</v>
      </c>
      <c r="H44" s="15">
        <f>VLOOKUP(F44,'Counting Free'!$B:$F,4,0)</f>
        <v>0</v>
      </c>
      <c r="I44" s="14">
        <f>VLOOKUP(F44,'Counting Kontrak'!B:E,4,0)</f>
        <v>0</v>
      </c>
      <c r="J44" s="5" t="str">
        <f ca="1">VLOOKUP(F44,'Data Garansi'!$E:$I,5,0)</f>
        <v>Tidak</v>
      </c>
      <c r="K44" s="6">
        <f>VLOOKUP(F44,'Tgl MC Free'!B:M,8,0)</f>
        <v>46143</v>
      </c>
      <c r="L44" s="6">
        <f>VLOOKUP(F44,'Tgl Maintenance untuk Kontrak'!$D:$M,10,0)</f>
        <v>45963</v>
      </c>
      <c r="M44" s="5" t="str">
        <f t="shared" si="3"/>
        <v>Nov</v>
      </c>
    </row>
    <row r="45" spans="1:13" x14ac:dyDescent="0.3">
      <c r="A45" s="5">
        <v>44</v>
      </c>
      <c r="B45" s="5" t="s">
        <v>365</v>
      </c>
      <c r="C45" s="5" t="s">
        <v>221</v>
      </c>
      <c r="D45" s="6">
        <v>44730</v>
      </c>
      <c r="E45" s="6" t="str">
        <f t="shared" si="2"/>
        <v>Jan</v>
      </c>
      <c r="F45" s="8" t="s">
        <v>16</v>
      </c>
      <c r="G45" s="8" t="s">
        <v>608</v>
      </c>
      <c r="H45" s="15">
        <f>VLOOKUP(F45,'Counting Free'!$B:$F,4,0)</f>
        <v>0</v>
      </c>
      <c r="I45" s="14">
        <f>VLOOKUP(F45,'Counting Kontrak'!B:E,4,0)</f>
        <v>0</v>
      </c>
      <c r="J45" s="5" t="str">
        <f ca="1">VLOOKUP(F45,'Data Garansi'!$E:$I,5,0)</f>
        <v>Tidak</v>
      </c>
      <c r="K45" s="6">
        <f>VLOOKUP(F45,'Tgl MC Free'!B:M,8,0)</f>
        <v>45859</v>
      </c>
      <c r="L45" s="6">
        <f>VLOOKUP(F45,'Tgl Maintenance untuk Kontrak'!$D:$M,10,0)</f>
        <v>45679</v>
      </c>
      <c r="M45" s="5" t="str">
        <f t="shared" si="3"/>
        <v>Jan</v>
      </c>
    </row>
    <row r="46" spans="1:13" x14ac:dyDescent="0.3">
      <c r="A46" s="5">
        <v>45</v>
      </c>
      <c r="B46" s="5" t="s">
        <v>362</v>
      </c>
      <c r="C46" s="5" t="s">
        <v>261</v>
      </c>
      <c r="D46" s="6">
        <v>44730</v>
      </c>
      <c r="E46" s="6" t="str">
        <f t="shared" si="2"/>
        <v>Mar</v>
      </c>
      <c r="F46" s="8" t="s">
        <v>59</v>
      </c>
      <c r="G46" s="8" t="s">
        <v>608</v>
      </c>
      <c r="H46" s="15">
        <f>VLOOKUP(F46,'Counting Free'!$B:$F,4,0)</f>
        <v>0</v>
      </c>
      <c r="I46" s="14">
        <f>VLOOKUP(F46,'Counting Kontrak'!B:E,4,0)</f>
        <v>0</v>
      </c>
      <c r="J46" s="5" t="str">
        <f ca="1">VLOOKUP(F46,'Data Garansi'!$E:$I,5,0)</f>
        <v>Tidak</v>
      </c>
      <c r="K46" s="6">
        <f>VLOOKUP(F46,'Tgl MC Free'!B:M,8,0)</f>
        <v>46032</v>
      </c>
      <c r="L46" s="6">
        <f>VLOOKUP(F46,'Tgl Maintenance untuk Kontrak'!$D:$M,10,0)</f>
        <v>46086</v>
      </c>
      <c r="M46" s="5" t="str">
        <f t="shared" si="3"/>
        <v>Mar</v>
      </c>
    </row>
    <row r="47" spans="1:13" x14ac:dyDescent="0.3">
      <c r="A47" s="5">
        <v>46</v>
      </c>
      <c r="B47" s="5" t="s">
        <v>362</v>
      </c>
      <c r="C47" s="5" t="s">
        <v>250</v>
      </c>
      <c r="D47" s="6">
        <v>44734</v>
      </c>
      <c r="E47" s="6"/>
      <c r="F47" s="8" t="s">
        <v>47</v>
      </c>
      <c r="G47" s="8" t="s">
        <v>610</v>
      </c>
      <c r="H47" s="15">
        <f>VLOOKUP(F47,'Counting Free'!$B:$F,4,0)</f>
        <v>0</v>
      </c>
      <c r="I47" s="14">
        <f>VLOOKUP(F47,'Counting Kontrak'!B:E,4,0)</f>
        <v>0</v>
      </c>
      <c r="J47" s="5" t="str">
        <f ca="1">VLOOKUP(F47,'Data Garansi'!$E:$I,5,0)</f>
        <v>Tidak</v>
      </c>
      <c r="K47" s="6">
        <f>VLOOKUP(F47,'Tgl MC Free'!B:M,8,0)</f>
        <v>45352</v>
      </c>
      <c r="L47" s="6">
        <f>VLOOKUP(F47,'Tgl Maintenance untuk Kontrak'!$D:$M,10,0)</f>
        <v>45172</v>
      </c>
    </row>
    <row r="48" spans="1:13" x14ac:dyDescent="0.3">
      <c r="A48" s="5">
        <v>47</v>
      </c>
      <c r="B48" s="5" t="s">
        <v>367</v>
      </c>
      <c r="C48" s="5" t="s">
        <v>256</v>
      </c>
      <c r="D48" s="6">
        <v>44740</v>
      </c>
      <c r="E48" s="6" t="str">
        <f>TEXT(L48,"mmm")</f>
        <v>Jan</v>
      </c>
      <c r="F48" s="8" t="s">
        <v>53</v>
      </c>
      <c r="G48" s="8" t="s">
        <v>608</v>
      </c>
      <c r="H48" s="15">
        <f>VLOOKUP(F48,'Counting Free'!$B:$F,4,0)</f>
        <v>0</v>
      </c>
      <c r="I48" s="14">
        <f>VLOOKUP(F48,'Counting Kontrak'!B:E,4,0)</f>
        <v>0</v>
      </c>
      <c r="J48" s="5" t="str">
        <f ca="1">VLOOKUP(F48,'Data Garansi'!$E:$I,5,0)</f>
        <v>Tidak</v>
      </c>
      <c r="K48" s="6">
        <f>VLOOKUP(F48,'Tgl MC Free'!B:M,8,0)</f>
        <v>46177</v>
      </c>
      <c r="L48" s="6">
        <f>VLOOKUP(F48,'Tgl Maintenance untuk Kontrak'!$D:$M,10,0)</f>
        <v>46050</v>
      </c>
      <c r="M48" s="5" t="str">
        <f>TEXT(L48,"mmm")</f>
        <v>Jan</v>
      </c>
    </row>
    <row r="49" spans="1:13" x14ac:dyDescent="0.3">
      <c r="A49" s="5">
        <v>48</v>
      </c>
      <c r="B49" s="5" t="s">
        <v>369</v>
      </c>
      <c r="C49" s="5" t="s">
        <v>263</v>
      </c>
      <c r="D49" s="6">
        <v>44740</v>
      </c>
      <c r="E49" s="6" t="str">
        <f>TEXT(L49,"mmm")</f>
        <v>Apr</v>
      </c>
      <c r="F49" s="8" t="s">
        <v>61</v>
      </c>
      <c r="G49" s="8" t="s">
        <v>617</v>
      </c>
      <c r="H49" s="15">
        <f>VLOOKUP(F49,'Counting Free'!$B:$F,4,0)</f>
        <v>0</v>
      </c>
      <c r="I49" s="14">
        <f>VLOOKUP(F49,'Counting Kontrak'!B:E,4,0)</f>
        <v>0</v>
      </c>
      <c r="J49" s="5" t="str">
        <f ca="1">VLOOKUP(F49,'Data Garansi'!$E:$I,5,0)</f>
        <v>Tidak</v>
      </c>
      <c r="K49" s="6">
        <f>VLOOKUP(F49,'Tgl MC Free'!B:M,8,0)</f>
        <v>46316</v>
      </c>
      <c r="L49" s="6">
        <f>VLOOKUP(F49,'Tgl Maintenance untuk Kontrak'!$D:$M,10,0)</f>
        <v>45771</v>
      </c>
      <c r="M49" s="5" t="str">
        <f>TEXT(L49,"mmm")</f>
        <v>Apr</v>
      </c>
    </row>
    <row r="50" spans="1:13" x14ac:dyDescent="0.3">
      <c r="A50" s="5">
        <v>49</v>
      </c>
      <c r="B50" s="5" t="s">
        <v>364</v>
      </c>
      <c r="C50" s="5" t="s">
        <v>218</v>
      </c>
      <c r="D50" s="6">
        <v>44749</v>
      </c>
      <c r="E50" s="6" t="str">
        <f>TEXT(L50,"mmm")</f>
        <v>Dec</v>
      </c>
      <c r="F50" s="8" t="s">
        <v>13</v>
      </c>
      <c r="G50" s="8" t="s">
        <v>617</v>
      </c>
      <c r="H50" s="15">
        <f>VLOOKUP(F50,'Counting Free'!$B:$F,4,0)</f>
        <v>2</v>
      </c>
      <c r="I50" s="14">
        <f>VLOOKUP(F50,'Counting Kontrak'!B:E,4,0)</f>
        <v>0</v>
      </c>
      <c r="J50" s="5" t="str">
        <f ca="1">VLOOKUP(F50,'Data Garansi'!$E:$I,5,0)</f>
        <v>Tidak</v>
      </c>
      <c r="K50" s="6">
        <f>VLOOKUP(F50,'Tgl MC Free'!B:M,8,0)</f>
        <v>45974</v>
      </c>
      <c r="L50" s="6">
        <f>VLOOKUP(F50,'Tgl Maintenance untuk Kontrak'!$D:$M,10,0)</f>
        <v>46018</v>
      </c>
      <c r="M50" s="5" t="str">
        <f>TEXT(L50,"mmm")</f>
        <v>Dec</v>
      </c>
    </row>
    <row r="51" spans="1:13" x14ac:dyDescent="0.3">
      <c r="A51" s="5">
        <v>50</v>
      </c>
      <c r="B51" s="5" t="s">
        <v>368</v>
      </c>
      <c r="C51" s="5" t="s">
        <v>271</v>
      </c>
      <c r="D51" s="6">
        <v>44753</v>
      </c>
      <c r="E51" s="6" t="str">
        <f>TEXT(L51,"mmm")</f>
        <v>Jan</v>
      </c>
      <c r="F51" s="8" t="s">
        <v>68</v>
      </c>
      <c r="G51" s="8" t="s">
        <v>608</v>
      </c>
      <c r="H51" s="15">
        <f>VLOOKUP(F51,'Counting Free'!$B:$F,4,0)</f>
        <v>0</v>
      </c>
      <c r="I51" s="14">
        <f>VLOOKUP(F51,'Counting Kontrak'!B:E,4,0)</f>
        <v>0</v>
      </c>
      <c r="J51" s="5" t="str">
        <f ca="1">VLOOKUP(F51,'Data Garansi'!$E:$I,5,0)</f>
        <v>Tidak</v>
      </c>
      <c r="K51" s="6">
        <f>VLOOKUP(F51,'Tgl MC Free'!B:M,8,0)</f>
        <v>45950</v>
      </c>
      <c r="L51" s="6">
        <f>VLOOKUP(F51,'Tgl Maintenance untuk Kontrak'!$D:$M,10,0)</f>
        <v>46029</v>
      </c>
      <c r="M51" s="5" t="str">
        <f>TEXT(L51,"mmm")</f>
        <v>Jan</v>
      </c>
    </row>
    <row r="52" spans="1:13" x14ac:dyDescent="0.3">
      <c r="A52" s="5">
        <v>51</v>
      </c>
      <c r="B52" s="5" t="s">
        <v>362</v>
      </c>
      <c r="C52" s="5" t="s">
        <v>268</v>
      </c>
      <c r="D52" s="6">
        <v>44754</v>
      </c>
      <c r="E52" s="6"/>
      <c r="F52" s="8" t="s">
        <v>65</v>
      </c>
      <c r="G52" s="8" t="s">
        <v>610</v>
      </c>
      <c r="H52" s="15">
        <f>VLOOKUP(F52,'Counting Free'!$B:$F,4,0)</f>
        <v>0</v>
      </c>
      <c r="I52" s="14">
        <f>VLOOKUP(F52,'Counting Kontrak'!B:E,4,0)</f>
        <v>0</v>
      </c>
      <c r="J52" s="5" t="str">
        <f ca="1">VLOOKUP(F52,'Data Garansi'!$E:$I,5,0)</f>
        <v>Tidak</v>
      </c>
      <c r="K52" s="6">
        <f>VLOOKUP(F52,'Tgl MC Free'!B:M,8,0)</f>
        <v>360</v>
      </c>
      <c r="L52" s="6">
        <f>VLOOKUP(F52,'Tgl Maintenance untuk Kontrak'!$D:$M,10,0)</f>
        <v>46071</v>
      </c>
    </row>
    <row r="53" spans="1:13" x14ac:dyDescent="0.3">
      <c r="A53" s="5">
        <v>52</v>
      </c>
      <c r="B53" s="5" t="s">
        <v>371</v>
      </c>
      <c r="C53" s="5" t="s">
        <v>281</v>
      </c>
      <c r="D53" s="6">
        <v>44757</v>
      </c>
      <c r="E53" s="6"/>
      <c r="F53" s="8" t="s">
        <v>81</v>
      </c>
      <c r="G53" s="8" t="s">
        <v>627</v>
      </c>
      <c r="H53" s="15">
        <f>VLOOKUP(F53,'Counting Free'!$B:$F,4,0)</f>
        <v>0</v>
      </c>
      <c r="I53" s="14">
        <f>VLOOKUP(F53,'Counting Kontrak'!B:E,4,0)</f>
        <v>0</v>
      </c>
      <c r="J53" s="5" t="str">
        <f ca="1">VLOOKUP(F53,'Data Garansi'!$E:$I,5,0)</f>
        <v>Tidak</v>
      </c>
      <c r="K53" s="6">
        <f>VLOOKUP(F53,'Tgl MC Free'!B:M,8,0)</f>
        <v>360</v>
      </c>
      <c r="L53" s="6">
        <f>VLOOKUP(F53,'Tgl Maintenance untuk Kontrak'!$D:$M,10,0)</f>
        <v>180</v>
      </c>
    </row>
    <row r="54" spans="1:13" x14ac:dyDescent="0.3">
      <c r="A54" s="5">
        <v>53</v>
      </c>
      <c r="B54" s="5" t="s">
        <v>363</v>
      </c>
      <c r="C54" s="5" t="s">
        <v>274</v>
      </c>
      <c r="D54" s="6">
        <v>44764</v>
      </c>
      <c r="E54" s="6"/>
      <c r="F54" s="8" t="s">
        <v>72</v>
      </c>
      <c r="G54" s="8" t="s">
        <v>628</v>
      </c>
      <c r="H54" s="15">
        <f>VLOOKUP(F54,'Counting Free'!$B:$F,4,0)</f>
        <v>0</v>
      </c>
      <c r="I54" s="14">
        <f>VLOOKUP(F54,'Counting Kontrak'!B:E,4,0)</f>
        <v>0</v>
      </c>
      <c r="J54" s="5" t="str">
        <f ca="1">VLOOKUP(F54,'Data Garansi'!$E:$I,5,0)</f>
        <v>Tidak</v>
      </c>
      <c r="K54" s="6">
        <f>VLOOKUP(F54,'Tgl MC Free'!B:M,8,0)</f>
        <v>360</v>
      </c>
      <c r="L54" s="6">
        <f>VLOOKUP(F54,'Tgl Maintenance untuk Kontrak'!$D:$M,10,0)</f>
        <v>46050</v>
      </c>
    </row>
    <row r="55" spans="1:13" x14ac:dyDescent="0.3">
      <c r="A55" s="5">
        <v>54</v>
      </c>
      <c r="B55" s="5" t="s">
        <v>370</v>
      </c>
      <c r="C55" s="5" t="s">
        <v>276</v>
      </c>
      <c r="D55" s="6">
        <v>44764</v>
      </c>
      <c r="E55" s="6" t="str">
        <f>TEXT(L55,"mmm")</f>
        <v>Aug</v>
      </c>
      <c r="F55" s="8" t="s">
        <v>74</v>
      </c>
      <c r="G55" s="8" t="s">
        <v>610</v>
      </c>
      <c r="H55" s="15">
        <f>VLOOKUP(F55,'Counting Free'!$B:$F,4,0)</f>
        <v>0</v>
      </c>
      <c r="I55" s="14">
        <f>VLOOKUP(F55,'Counting Kontrak'!B:E,4,0)</f>
        <v>0</v>
      </c>
      <c r="J55" s="5" t="str">
        <f ca="1">VLOOKUP(F55,'Data Garansi'!$E:$I,5,0)</f>
        <v>Tidak</v>
      </c>
      <c r="K55" s="6">
        <f>VLOOKUP(F55,'Tgl MC Free'!B:M,8,0)</f>
        <v>45878</v>
      </c>
      <c r="L55" s="6">
        <f>VLOOKUP(F55,'Tgl Maintenance untuk Kontrak'!$D:$M,10,0)</f>
        <v>46264</v>
      </c>
      <c r="M55" s="5" t="str">
        <f>TEXT(L55,"mmm")</f>
        <v>Aug</v>
      </c>
    </row>
    <row r="56" spans="1:13" x14ac:dyDescent="0.3">
      <c r="A56" s="5">
        <v>320</v>
      </c>
      <c r="B56" s="5" t="s">
        <v>368</v>
      </c>
      <c r="C56" s="5" t="s">
        <v>596</v>
      </c>
      <c r="D56" s="6">
        <v>44764</v>
      </c>
      <c r="E56" s="6" t="str">
        <f>TEXT(L56,"mmm")</f>
        <v>Jul</v>
      </c>
      <c r="F56" s="8" t="s">
        <v>599</v>
      </c>
      <c r="G56" s="8" t="s">
        <v>608</v>
      </c>
      <c r="H56" s="15">
        <f>VLOOKUP(F56,'Counting Free'!$B:$F,4,0)</f>
        <v>0</v>
      </c>
      <c r="I56" s="14">
        <f>VLOOKUP(F56,'Counting Kontrak'!B:E,4,0)</f>
        <v>0</v>
      </c>
      <c r="J56" s="5" t="str">
        <f ca="1">VLOOKUP(F56,'Data Garansi'!$E:$I,5,0)</f>
        <v>Tidak</v>
      </c>
      <c r="K56" s="6">
        <f>VLOOKUP(F56,'Tgl MC Free'!B:M,8,0)</f>
        <v>46164</v>
      </c>
      <c r="L56" s="6">
        <f>VLOOKUP(F56,'Tgl Maintenance untuk Kontrak'!$D:$M,10,0)</f>
        <v>46219</v>
      </c>
      <c r="M56" s="5" t="str">
        <f>TEXT(L56,"mmm")</f>
        <v>Jul</v>
      </c>
    </row>
    <row r="57" spans="1:13" x14ac:dyDescent="0.3">
      <c r="A57" s="5">
        <v>55</v>
      </c>
      <c r="B57" s="5" t="s">
        <v>364</v>
      </c>
      <c r="C57" s="5" t="s">
        <v>260</v>
      </c>
      <c r="D57" s="6">
        <v>44765</v>
      </c>
      <c r="E57" s="6"/>
      <c r="F57" s="8" t="s">
        <v>58</v>
      </c>
      <c r="G57" s="8" t="s">
        <v>610</v>
      </c>
      <c r="H57" s="15">
        <f>VLOOKUP(F57,'Counting Free'!$B:$F,4,0)</f>
        <v>0</v>
      </c>
      <c r="I57" s="14">
        <f>VLOOKUP(F57,'Counting Kontrak'!B:E,4,0)</f>
        <v>0</v>
      </c>
      <c r="J57" s="5" t="str">
        <f ca="1">VLOOKUP(F57,'Data Garansi'!$E:$I,5,0)</f>
        <v>Tidak</v>
      </c>
      <c r="K57" s="6">
        <f>VLOOKUP(F57,'Tgl MC Free'!B:M,8,0)</f>
        <v>360</v>
      </c>
      <c r="L57" s="6">
        <f>VLOOKUP(F57,'Tgl Maintenance untuk Kontrak'!$D:$M,10,0)</f>
        <v>45985</v>
      </c>
    </row>
    <row r="58" spans="1:13" x14ac:dyDescent="0.3">
      <c r="A58" s="5">
        <v>56</v>
      </c>
      <c r="B58" s="5" t="s">
        <v>362</v>
      </c>
      <c r="C58" s="5" t="s">
        <v>266</v>
      </c>
      <c r="D58" s="6">
        <v>44766</v>
      </c>
      <c r="E58" s="6" t="str">
        <f>TEXT(L58,"mmm")</f>
        <v>Aug</v>
      </c>
      <c r="F58" s="8" t="s">
        <v>64</v>
      </c>
      <c r="G58" s="8" t="s">
        <v>611</v>
      </c>
      <c r="H58" s="15">
        <f>VLOOKUP(F58,'Counting Free'!$B:$F,4,0)</f>
        <v>0</v>
      </c>
      <c r="I58" s="14">
        <f>VLOOKUP(F58,'Counting Kontrak'!B:E,4,0)</f>
        <v>0</v>
      </c>
      <c r="J58" s="5" t="str">
        <f ca="1">VLOOKUP(F58,'Data Garansi'!$E:$I,5,0)</f>
        <v>Tidak</v>
      </c>
      <c r="K58" s="6">
        <f>VLOOKUP(F58,'Tgl MC Free'!B:M,8,0)</f>
        <v>46137</v>
      </c>
      <c r="L58" s="6">
        <f>VLOOKUP(F58,'Tgl Maintenance untuk Kontrak'!$D:$M,10,0)</f>
        <v>46256</v>
      </c>
      <c r="M58" s="5" t="str">
        <f>TEXT(L58,"mmm")</f>
        <v>Aug</v>
      </c>
    </row>
    <row r="59" spans="1:13" x14ac:dyDescent="0.3">
      <c r="A59" s="5">
        <v>57</v>
      </c>
      <c r="B59" s="5" t="s">
        <v>365</v>
      </c>
      <c r="C59" s="5" t="s">
        <v>232</v>
      </c>
      <c r="D59" s="6">
        <v>44772</v>
      </c>
      <c r="E59" s="6" t="str">
        <f>TEXT(L59,"mmm")</f>
        <v>Jan</v>
      </c>
      <c r="F59" s="8" t="s">
        <v>27</v>
      </c>
      <c r="G59" s="8" t="s">
        <v>608</v>
      </c>
      <c r="H59" s="15">
        <f>VLOOKUP(F59,'Counting Free'!$B:$F,4,0)</f>
        <v>0</v>
      </c>
      <c r="I59" s="14">
        <f>VLOOKUP(F59,'Counting Kontrak'!B:E,4,0)</f>
        <v>0</v>
      </c>
      <c r="J59" s="5" t="str">
        <f ca="1">VLOOKUP(F59,'Data Garansi'!$E:$I,5,0)</f>
        <v>Tidak</v>
      </c>
      <c r="K59" s="6">
        <f>VLOOKUP(F59,'Tgl MC Free'!B:M,8,0)</f>
        <v>45972</v>
      </c>
      <c r="L59" s="6">
        <f>VLOOKUP(F59,'Tgl Maintenance untuk Kontrak'!$D:$M,10,0)</f>
        <v>46033</v>
      </c>
      <c r="M59" s="5" t="str">
        <f>TEXT(L59,"mmm")</f>
        <v>Jan</v>
      </c>
    </row>
    <row r="60" spans="1:13" x14ac:dyDescent="0.3">
      <c r="A60" s="5">
        <v>58</v>
      </c>
      <c r="B60" s="5" t="s">
        <v>364</v>
      </c>
      <c r="C60" s="5" t="s">
        <v>238</v>
      </c>
      <c r="D60" s="6">
        <v>44776</v>
      </c>
      <c r="E60" s="6" t="str">
        <f>TEXT(L60,"mmm")</f>
        <v>May</v>
      </c>
      <c r="F60" s="8" t="s">
        <v>34</v>
      </c>
      <c r="G60" s="8" t="s">
        <v>629</v>
      </c>
      <c r="H60" s="15">
        <f>VLOOKUP(F60,'Counting Free'!$B:$F,4,0)</f>
        <v>0</v>
      </c>
      <c r="I60" s="14">
        <f>VLOOKUP(F60,'Counting Kontrak'!B:E,4,0)</f>
        <v>0</v>
      </c>
      <c r="J60" s="5" t="str">
        <f ca="1">VLOOKUP(F60,'Data Garansi'!$E:$I,5,0)</f>
        <v>Tidak</v>
      </c>
      <c r="K60" s="6">
        <f>VLOOKUP(F60,'Tgl MC Free'!B:M,8,0)</f>
        <v>46352</v>
      </c>
      <c r="L60" s="6">
        <f>VLOOKUP(F60,'Tgl Maintenance untuk Kontrak'!$D:$M,10,0)</f>
        <v>46172</v>
      </c>
      <c r="M60" s="5" t="str">
        <f>TEXT(L60,"mmm")</f>
        <v>May</v>
      </c>
    </row>
    <row r="61" spans="1:13" x14ac:dyDescent="0.3">
      <c r="A61" s="5">
        <v>59</v>
      </c>
      <c r="B61" s="5" t="s">
        <v>361</v>
      </c>
      <c r="C61" s="5">
        <v>190</v>
      </c>
      <c r="D61" s="6">
        <v>44777</v>
      </c>
      <c r="E61" s="6"/>
      <c r="F61" s="8" t="s">
        <v>71</v>
      </c>
      <c r="G61" s="8" t="s">
        <v>610</v>
      </c>
      <c r="H61" s="15">
        <f>VLOOKUP(F61,'Counting Free'!$B:$F,4,0)</f>
        <v>0</v>
      </c>
      <c r="I61" s="14">
        <f>VLOOKUP(F61,'Counting Kontrak'!B:E,4,0)</f>
        <v>0</v>
      </c>
      <c r="J61" s="5" t="str">
        <f ca="1">VLOOKUP(F61,'Data Garansi'!$E:$I,5,0)</f>
        <v>Tidak</v>
      </c>
      <c r="K61" s="6">
        <f>VLOOKUP(F61,'Tgl MC Free'!B:M,8,0)</f>
        <v>45718</v>
      </c>
      <c r="L61" s="6">
        <f>VLOOKUP(F61,'Tgl Maintenance untuk Kontrak'!$D:$M,10,0)</f>
        <v>45538</v>
      </c>
    </row>
    <row r="62" spans="1:13" x14ac:dyDescent="0.3">
      <c r="A62" s="5">
        <v>60</v>
      </c>
      <c r="B62" s="5" t="s">
        <v>361</v>
      </c>
      <c r="C62" s="5" t="s">
        <v>207</v>
      </c>
      <c r="D62" s="6">
        <v>44781</v>
      </c>
      <c r="E62" s="6" t="str">
        <f>TEXT(L62,"mmm")</f>
        <v>May</v>
      </c>
      <c r="F62" s="8" t="s">
        <v>425</v>
      </c>
      <c r="G62" s="8" t="s">
        <v>608</v>
      </c>
      <c r="H62" s="15">
        <f>VLOOKUP(F62,'Counting Free'!$B:$F,4,0)</f>
        <v>2</v>
      </c>
      <c r="I62" s="14">
        <f>VLOOKUP(F62,'Counting Kontrak'!B:E,4,0)</f>
        <v>0</v>
      </c>
      <c r="J62" s="5" t="str">
        <f ca="1">VLOOKUP(F62,'Data Garansi'!$E:$I,5,0)</f>
        <v>Tidak</v>
      </c>
      <c r="K62" s="6">
        <f>VLOOKUP(F62,'Tgl MC Free'!B:M,8,0)</f>
        <v>45974</v>
      </c>
      <c r="L62" s="6">
        <f>VLOOKUP(F62,'Tgl Maintenance untuk Kontrak'!$D:$M,10,0)</f>
        <v>45794</v>
      </c>
      <c r="M62" s="5" t="str">
        <f>TEXT(L62,"mmm")</f>
        <v>May</v>
      </c>
    </row>
    <row r="63" spans="1:13" x14ac:dyDescent="0.3">
      <c r="A63" s="5">
        <v>61</v>
      </c>
      <c r="B63" s="5" t="s">
        <v>361</v>
      </c>
      <c r="C63" s="5" t="s">
        <v>282</v>
      </c>
      <c r="D63" s="6">
        <v>44781</v>
      </c>
      <c r="E63" s="6" t="str">
        <f>TEXT(L63,"mmm")</f>
        <v>May</v>
      </c>
      <c r="F63" s="8" t="s">
        <v>82</v>
      </c>
      <c r="G63" s="8" t="s">
        <v>627</v>
      </c>
      <c r="H63" s="15">
        <f>VLOOKUP(F63,'Counting Free'!$B:$F,4,0)</f>
        <v>0</v>
      </c>
      <c r="I63" s="14">
        <f>VLOOKUP(F63,'Counting Kontrak'!B:E,4,0)</f>
        <v>0</v>
      </c>
      <c r="J63" s="5" t="str">
        <f ca="1">VLOOKUP(F63,'Data Garansi'!$E:$I,5,0)</f>
        <v>Tidak</v>
      </c>
      <c r="K63" s="6">
        <f>VLOOKUP(F63,'Tgl MC Free'!B:M,8,0)</f>
        <v>45974</v>
      </c>
      <c r="L63" s="6">
        <f>VLOOKUP(F63,'Tgl Maintenance untuk Kontrak'!$D:$M,10,0)</f>
        <v>45794</v>
      </c>
      <c r="M63" s="5" t="str">
        <f>TEXT(L63,"mmm")</f>
        <v>May</v>
      </c>
    </row>
    <row r="64" spans="1:13" x14ac:dyDescent="0.3">
      <c r="A64" s="5">
        <v>62</v>
      </c>
      <c r="B64" s="5" t="s">
        <v>368</v>
      </c>
      <c r="C64" s="5" t="s">
        <v>283</v>
      </c>
      <c r="D64" s="6">
        <v>44785</v>
      </c>
      <c r="E64" s="6"/>
      <c r="F64" s="8" t="s">
        <v>84</v>
      </c>
      <c r="G64" s="8" t="s">
        <v>611</v>
      </c>
      <c r="H64" s="15">
        <f>VLOOKUP(F64,'Counting Free'!$B:$F,4,0)</f>
        <v>0</v>
      </c>
      <c r="I64" s="14">
        <f>VLOOKUP(F64,'Counting Kontrak'!B:E,4,0)</f>
        <v>0</v>
      </c>
      <c r="J64" s="5" t="str">
        <f ca="1">VLOOKUP(F64,'Data Garansi'!$E:$I,5,0)</f>
        <v>Tidak</v>
      </c>
      <c r="K64" s="6">
        <f>VLOOKUP(F64,'Tgl MC Free'!B:M,8,0)</f>
        <v>45669</v>
      </c>
      <c r="L64" s="6">
        <f>VLOOKUP(F64,'Tgl Maintenance untuk Kontrak'!$D:$M,10,0)</f>
        <v>45489</v>
      </c>
    </row>
    <row r="65" spans="1:13" x14ac:dyDescent="0.3">
      <c r="A65" s="5">
        <v>63</v>
      </c>
      <c r="B65" s="5" t="s">
        <v>366</v>
      </c>
      <c r="C65" s="5">
        <v>189</v>
      </c>
      <c r="D65" s="6">
        <v>44787</v>
      </c>
      <c r="E65" s="6" t="str">
        <f>TEXT(L65,"mmm")</f>
        <v>Dec</v>
      </c>
      <c r="F65" s="8" t="s">
        <v>38</v>
      </c>
      <c r="G65" s="8" t="s">
        <v>630</v>
      </c>
      <c r="H65" s="15">
        <f>VLOOKUP(F65,'Counting Free'!$B:$F,4,0)</f>
        <v>0</v>
      </c>
      <c r="I65" s="14">
        <f>VLOOKUP(F65,'Counting Kontrak'!B:E,4,0)</f>
        <v>0</v>
      </c>
      <c r="J65" s="5" t="str">
        <f ca="1">VLOOKUP(F65,'Data Garansi'!$E:$I,5,0)</f>
        <v>Tidak</v>
      </c>
      <c r="K65" s="6">
        <f>VLOOKUP(F65,'Tgl MC Free'!B:M,8,0)</f>
        <v>46172</v>
      </c>
      <c r="L65" s="6">
        <f>VLOOKUP(F65,'Tgl Maintenance untuk Kontrak'!$D:$M,10,0)</f>
        <v>45992</v>
      </c>
      <c r="M65" s="5" t="str">
        <f>TEXT(L65,"mmm")</f>
        <v>Dec</v>
      </c>
    </row>
    <row r="66" spans="1:13" x14ac:dyDescent="0.3">
      <c r="A66" s="5">
        <v>64</v>
      </c>
      <c r="B66" s="5" t="s">
        <v>368</v>
      </c>
      <c r="C66" s="5" t="s">
        <v>289</v>
      </c>
      <c r="D66" s="6">
        <v>44797</v>
      </c>
      <c r="E66" s="6" t="str">
        <f>TEXT(L66,"mmm")</f>
        <v>Jan</v>
      </c>
      <c r="F66" s="8" t="s">
        <v>90</v>
      </c>
      <c r="G66" s="8" t="s">
        <v>608</v>
      </c>
      <c r="H66" s="15">
        <f>VLOOKUP(F66,'Counting Free'!$B:$F,4,0)</f>
        <v>0</v>
      </c>
      <c r="I66" s="14">
        <f>VLOOKUP(F66,'Counting Kontrak'!B:E,4,0)</f>
        <v>0</v>
      </c>
      <c r="J66" s="5" t="str">
        <f ca="1">VLOOKUP(F66,'Data Garansi'!$E:$I,5,0)</f>
        <v>Tidak</v>
      </c>
      <c r="K66" s="6">
        <f>VLOOKUP(F66,'Tgl MC Free'!B:M,8,0)</f>
        <v>45901</v>
      </c>
      <c r="L66" s="6">
        <f>VLOOKUP(F66,'Tgl Maintenance untuk Kontrak'!$D:$M,10,0)</f>
        <v>46051</v>
      </c>
      <c r="M66" s="5" t="str">
        <f>TEXT(L66,"mmm")</f>
        <v>Jan</v>
      </c>
    </row>
    <row r="67" spans="1:13" x14ac:dyDescent="0.3">
      <c r="A67" s="5">
        <v>65</v>
      </c>
      <c r="B67" s="5" t="s">
        <v>362</v>
      </c>
      <c r="C67" s="5" t="s">
        <v>233</v>
      </c>
      <c r="D67" s="6">
        <v>44803</v>
      </c>
      <c r="E67" s="6" t="str">
        <f>TEXT(L67,"mmm")</f>
        <v>Jan</v>
      </c>
      <c r="F67" s="8" t="s">
        <v>28</v>
      </c>
      <c r="G67" s="8" t="s">
        <v>631</v>
      </c>
      <c r="H67" s="15">
        <f>VLOOKUP(F67,'Counting Free'!$B:$F,4,0)</f>
        <v>0</v>
      </c>
      <c r="I67" s="14">
        <f>VLOOKUP(F67,'Counting Kontrak'!B:E,4,0)</f>
        <v>0</v>
      </c>
      <c r="J67" s="5" t="str">
        <f ca="1">VLOOKUP(F67,'Data Garansi'!$E:$I,5,0)</f>
        <v>Tidak</v>
      </c>
      <c r="K67" s="6">
        <f>VLOOKUP(F67,'Tgl MC Free'!B:M,8,0)</f>
        <v>46099</v>
      </c>
      <c r="L67" s="6">
        <f>VLOOKUP(F67,'Tgl Maintenance untuk Kontrak'!$D:$M,10,0)</f>
        <v>46049</v>
      </c>
      <c r="M67" s="5" t="str">
        <f>TEXT(L67,"mmm")</f>
        <v>Jan</v>
      </c>
    </row>
    <row r="68" spans="1:13" x14ac:dyDescent="0.3">
      <c r="A68" s="5">
        <v>66</v>
      </c>
      <c r="B68" s="5" t="s">
        <v>368</v>
      </c>
      <c r="C68" s="5" t="s">
        <v>273</v>
      </c>
      <c r="D68" s="6">
        <v>44807</v>
      </c>
      <c r="E68" s="6"/>
      <c r="F68" s="8" t="s">
        <v>70</v>
      </c>
      <c r="G68" s="8" t="s">
        <v>610</v>
      </c>
      <c r="H68" s="15">
        <f>VLOOKUP(F68,'Counting Free'!$B:$F,4,0)</f>
        <v>0</v>
      </c>
      <c r="I68" s="14">
        <f>VLOOKUP(F68,'Counting Kontrak'!B:E,4,0)</f>
        <v>0</v>
      </c>
      <c r="J68" s="5" t="str">
        <f ca="1">VLOOKUP(F68,'Data Garansi'!$E:$I,5,0)</f>
        <v>Tidak</v>
      </c>
      <c r="K68" s="6">
        <f>VLOOKUP(F68,'Tgl MC Free'!B:M,8,0)</f>
        <v>360</v>
      </c>
      <c r="L68" s="6">
        <f>VLOOKUP(F68,'Tgl Maintenance untuk Kontrak'!$D:$M,10,0)</f>
        <v>180</v>
      </c>
    </row>
    <row r="69" spans="1:13" x14ac:dyDescent="0.3">
      <c r="A69" s="5">
        <v>67</v>
      </c>
      <c r="B69" s="5" t="s">
        <v>368</v>
      </c>
      <c r="C69" s="5" t="s">
        <v>287</v>
      </c>
      <c r="D69" s="6">
        <v>44807</v>
      </c>
      <c r="E69" s="6"/>
      <c r="F69" s="8" t="s">
        <v>88</v>
      </c>
      <c r="G69" s="8" t="s">
        <v>608</v>
      </c>
      <c r="H69" s="15">
        <f>VLOOKUP(F69,'Counting Free'!$B:$F,4,0)</f>
        <v>0</v>
      </c>
      <c r="I69" s="14">
        <f>VLOOKUP(F69,'Counting Kontrak'!B:E,4,0)</f>
        <v>0</v>
      </c>
      <c r="J69" s="5" t="str">
        <f ca="1">VLOOKUP(F69,'Data Garansi'!$E:$I,5,0)</f>
        <v>Tidak</v>
      </c>
      <c r="K69" s="6">
        <f>VLOOKUP(F69,'Tgl MC Free'!B:M,8,0)</f>
        <v>360</v>
      </c>
      <c r="L69" s="6">
        <f>VLOOKUP(F69,'Tgl Maintenance untuk Kontrak'!$D:$M,10,0)</f>
        <v>45974</v>
      </c>
    </row>
    <row r="70" spans="1:13" x14ac:dyDescent="0.3">
      <c r="A70" s="5">
        <v>68</v>
      </c>
      <c r="B70" s="5" t="s">
        <v>367</v>
      </c>
      <c r="C70" s="5" t="s">
        <v>253</v>
      </c>
      <c r="D70" s="6">
        <v>44818</v>
      </c>
      <c r="E70" s="6" t="str">
        <f>TEXT(L70,"mmm")</f>
        <v>Sep</v>
      </c>
      <c r="F70" s="8" t="s">
        <v>50</v>
      </c>
      <c r="G70" s="8" t="s">
        <v>632</v>
      </c>
      <c r="H70" s="15">
        <f>VLOOKUP(F70,'Counting Free'!$B:$F,4,0)</f>
        <v>0</v>
      </c>
      <c r="I70" s="14">
        <f>VLOOKUP(F70,'Counting Kontrak'!B:E,4,0)</f>
        <v>0</v>
      </c>
      <c r="J70" s="5" t="str">
        <f ca="1">VLOOKUP(F70,'Data Garansi'!$E:$I,5,0)</f>
        <v>Tidak</v>
      </c>
      <c r="K70" s="6">
        <f>VLOOKUP(F70,'Tgl MC Free'!B:M,8,0)</f>
        <v>46169</v>
      </c>
      <c r="L70" s="6">
        <f>VLOOKUP(F70,'Tgl Maintenance untuk Kontrak'!$D:$M,10,0)</f>
        <v>46266</v>
      </c>
      <c r="M70" s="5" t="str">
        <f>TEXT(L70,"mmm")</f>
        <v>Sep</v>
      </c>
    </row>
    <row r="71" spans="1:13" x14ac:dyDescent="0.3">
      <c r="A71" s="5">
        <v>69</v>
      </c>
      <c r="B71" s="5" t="s">
        <v>367</v>
      </c>
      <c r="C71" s="5" t="s">
        <v>290</v>
      </c>
      <c r="D71" s="6">
        <v>44818</v>
      </c>
      <c r="E71" s="6"/>
      <c r="F71" s="8" t="s">
        <v>91</v>
      </c>
      <c r="G71" s="8" t="s">
        <v>618</v>
      </c>
      <c r="H71" s="15">
        <f>VLOOKUP(F71,'Counting Free'!$B:$F,4,0)</f>
        <v>0</v>
      </c>
      <c r="I71" s="14">
        <f>VLOOKUP(F71,'Counting Kontrak'!B:E,4,0)</f>
        <v>0</v>
      </c>
      <c r="J71" s="5" t="str">
        <f ca="1">VLOOKUP(F71,'Data Garansi'!$E:$I,5,0)</f>
        <v>Tidak</v>
      </c>
      <c r="K71" s="6">
        <f>VLOOKUP(F71,'Tgl MC Free'!B:M,8,0)</f>
        <v>360</v>
      </c>
      <c r="L71" s="6">
        <f>VLOOKUP(F71,'Tgl Maintenance untuk Kontrak'!$D:$M,10,0)</f>
        <v>180</v>
      </c>
    </row>
    <row r="72" spans="1:13" x14ac:dyDescent="0.3">
      <c r="A72" s="5">
        <v>70</v>
      </c>
      <c r="B72" s="5" t="s">
        <v>362</v>
      </c>
      <c r="C72" s="5" t="s">
        <v>220</v>
      </c>
      <c r="D72" s="6">
        <v>44827</v>
      </c>
      <c r="E72" s="6"/>
      <c r="F72" s="8" t="s">
        <v>15</v>
      </c>
      <c r="G72" s="8" t="s">
        <v>633</v>
      </c>
      <c r="H72" s="15">
        <f>VLOOKUP(F72,'Counting Free'!$B:$F,4,0)</f>
        <v>2</v>
      </c>
      <c r="I72" s="14">
        <f>VLOOKUP(F72,'Counting Kontrak'!B:E,4,0)</f>
        <v>0</v>
      </c>
      <c r="J72" s="5" t="str">
        <f ca="1">VLOOKUP(F72,'Data Garansi'!$E:$I,5,0)</f>
        <v>Tidak</v>
      </c>
      <c r="K72" s="6">
        <f>VLOOKUP(F72,'Tgl MC Free'!B:M,8,0)</f>
        <v>45809</v>
      </c>
      <c r="L72" s="6">
        <f>VLOOKUP(F72,'Tgl Maintenance untuk Kontrak'!$D:$M,10,0)</f>
        <v>45629</v>
      </c>
    </row>
    <row r="73" spans="1:13" x14ac:dyDescent="0.3">
      <c r="A73" s="5">
        <v>71</v>
      </c>
      <c r="B73" s="5" t="s">
        <v>368</v>
      </c>
      <c r="C73" s="5" t="s">
        <v>264</v>
      </c>
      <c r="D73" s="6">
        <v>44835</v>
      </c>
      <c r="E73" s="6" t="str">
        <f>TEXT(L73,"mmm")</f>
        <v>Mar</v>
      </c>
      <c r="F73" s="8" t="s">
        <v>62</v>
      </c>
      <c r="G73" s="8" t="s">
        <v>624</v>
      </c>
      <c r="H73" s="15">
        <f>VLOOKUP(F73,'Counting Free'!$B:$F,4,0)</f>
        <v>0</v>
      </c>
      <c r="I73" s="14">
        <f>VLOOKUP(F73,'Counting Kontrak'!B:E,4,0)</f>
        <v>0</v>
      </c>
      <c r="J73" s="5" t="str">
        <f ca="1">VLOOKUP(F73,'Data Garansi'!$E:$I,5,0)</f>
        <v>Tidak</v>
      </c>
      <c r="K73" s="6">
        <f>VLOOKUP(F73,'Tgl MC Free'!B:M,8,0)</f>
        <v>46011</v>
      </c>
      <c r="L73" s="6">
        <f>VLOOKUP(F73,'Tgl Maintenance untuk Kontrak'!$D:$M,10,0)</f>
        <v>46097</v>
      </c>
      <c r="M73" s="5" t="str">
        <f>TEXT(L73,"mmm")</f>
        <v>Mar</v>
      </c>
    </row>
    <row r="74" spans="1:13" x14ac:dyDescent="0.3">
      <c r="A74" s="5">
        <v>72</v>
      </c>
      <c r="B74" s="5" t="s">
        <v>368</v>
      </c>
      <c r="C74" s="5" t="s">
        <v>285</v>
      </c>
      <c r="D74" s="6">
        <v>44837</v>
      </c>
      <c r="E74" s="6" t="str">
        <f>TEXT(L74,"mmm")</f>
        <v>Mar</v>
      </c>
      <c r="F74" s="8" t="s">
        <v>86</v>
      </c>
      <c r="G74" s="8" t="s">
        <v>619</v>
      </c>
      <c r="H74" s="15">
        <f>VLOOKUP(F74,'Counting Free'!$B:$F,4,0)</f>
        <v>0</v>
      </c>
      <c r="I74" s="14">
        <f>VLOOKUP(F74,'Counting Kontrak'!B:E,4,0)</f>
        <v>0</v>
      </c>
      <c r="J74" s="5" t="str">
        <f ca="1">VLOOKUP(F74,'Data Garansi'!$E:$I,5,0)</f>
        <v>Tidak</v>
      </c>
      <c r="K74" s="6">
        <f>VLOOKUP(F74,'Tgl MC Free'!B:M,8,0)</f>
        <v>45983</v>
      </c>
      <c r="L74" s="6">
        <f>VLOOKUP(F74,'Tgl Maintenance untuk Kontrak'!$D:$M,10,0)</f>
        <v>46110</v>
      </c>
      <c r="M74" s="5" t="str">
        <f>TEXT(L74,"mmm")</f>
        <v>Mar</v>
      </c>
    </row>
    <row r="75" spans="1:13" x14ac:dyDescent="0.3">
      <c r="A75" s="5">
        <v>73</v>
      </c>
      <c r="B75" s="5" t="s">
        <v>367</v>
      </c>
      <c r="C75" s="5" t="s">
        <v>295</v>
      </c>
      <c r="D75" s="6">
        <v>44838</v>
      </c>
      <c r="E75" s="6"/>
      <c r="F75" s="8" t="s">
        <v>95</v>
      </c>
      <c r="G75" s="8" t="s">
        <v>611</v>
      </c>
      <c r="H75" s="15">
        <f>VLOOKUP(F75,'Counting Free'!$B:$F,4,0)</f>
        <v>0</v>
      </c>
      <c r="I75" s="14">
        <f>VLOOKUP(F75,'Counting Kontrak'!B:E,4,0)</f>
        <v>0</v>
      </c>
      <c r="J75" s="5" t="str">
        <f ca="1">VLOOKUP(F75,'Data Garansi'!$E:$I,5,0)</f>
        <v>Tidak</v>
      </c>
      <c r="K75" s="6">
        <f>VLOOKUP(F75,'Tgl MC Free'!B:M,8,0)</f>
        <v>360</v>
      </c>
      <c r="L75" s="6">
        <f>VLOOKUP(F75,'Tgl Maintenance untuk Kontrak'!$D:$M,10,0)</f>
        <v>46245</v>
      </c>
    </row>
    <row r="76" spans="1:13" x14ac:dyDescent="0.3">
      <c r="A76" s="5">
        <v>74</v>
      </c>
      <c r="B76" s="5" t="s">
        <v>362</v>
      </c>
      <c r="C76" s="5" t="s">
        <v>231</v>
      </c>
      <c r="D76" s="6">
        <v>44845</v>
      </c>
      <c r="E76" s="6"/>
      <c r="F76" s="8" t="s">
        <v>26</v>
      </c>
      <c r="G76" s="8" t="s">
        <v>611</v>
      </c>
      <c r="H76" s="15">
        <f>VLOOKUP(F76,'Counting Free'!$B:$F,4,0)</f>
        <v>0</v>
      </c>
      <c r="I76" s="14">
        <f>VLOOKUP(F76,'Counting Kontrak'!B:E,4,0)</f>
        <v>0</v>
      </c>
      <c r="J76" s="5" t="str">
        <f ca="1">VLOOKUP(F76,'Data Garansi'!$E:$I,5,0)</f>
        <v>Tidak</v>
      </c>
      <c r="K76" s="6">
        <f>VLOOKUP(F76,'Tgl MC Free'!B:M,8,0)</f>
        <v>45832</v>
      </c>
      <c r="L76" s="6">
        <f>VLOOKUP(F76,'Tgl Maintenance untuk Kontrak'!$D:$M,10,0)</f>
        <v>46083</v>
      </c>
    </row>
    <row r="77" spans="1:13" x14ac:dyDescent="0.3">
      <c r="A77" s="5">
        <v>75</v>
      </c>
      <c r="B77" s="5" t="s">
        <v>371</v>
      </c>
      <c r="C77" s="5" t="s">
        <v>278</v>
      </c>
      <c r="D77" s="6">
        <v>44856</v>
      </c>
      <c r="E77" s="6" t="str">
        <f>TEXT(L77,"mmm")</f>
        <v>Jun</v>
      </c>
      <c r="F77" s="8" t="s">
        <v>76</v>
      </c>
      <c r="G77" s="8" t="s">
        <v>617</v>
      </c>
      <c r="H77" s="15">
        <f>VLOOKUP(F77,'Counting Free'!$B:$F,4,0)</f>
        <v>0</v>
      </c>
      <c r="I77" s="14">
        <f>VLOOKUP(F77,'Counting Kontrak'!B:E,4,0)</f>
        <v>0</v>
      </c>
      <c r="J77" s="5" t="str">
        <f ca="1">VLOOKUP(F77,'Data Garansi'!$E:$I,5,0)</f>
        <v>Tidak</v>
      </c>
      <c r="K77" s="6">
        <f>VLOOKUP(F77,'Tgl MC Free'!B:M,8,0)</f>
        <v>46191</v>
      </c>
      <c r="L77" s="6">
        <f>VLOOKUP(F77,'Tgl Maintenance untuk Kontrak'!$D:$M,10,0)</f>
        <v>46191</v>
      </c>
      <c r="M77" s="5" t="str">
        <f>TEXT(L77,"mmm")</f>
        <v>Jun</v>
      </c>
    </row>
    <row r="78" spans="1:13" x14ac:dyDescent="0.3">
      <c r="A78" s="5">
        <v>76</v>
      </c>
      <c r="B78" s="5" t="s">
        <v>365</v>
      </c>
      <c r="C78" s="5" t="s">
        <v>251</v>
      </c>
      <c r="D78" s="6">
        <v>44864</v>
      </c>
      <c r="E78" s="6" t="str">
        <f>TEXT(L78,"mmm")</f>
        <v>Feb</v>
      </c>
      <c r="F78" s="8" t="s">
        <v>48</v>
      </c>
      <c r="G78" s="8" t="s">
        <v>614</v>
      </c>
      <c r="H78" s="15">
        <f>VLOOKUP(F78,'Counting Free'!$B:$F,4,0)</f>
        <v>0</v>
      </c>
      <c r="I78" s="14">
        <f>VLOOKUP(F78,'Counting Kontrak'!B:E,4,0)</f>
        <v>0</v>
      </c>
      <c r="J78" s="5" t="str">
        <f ca="1">VLOOKUP(F78,'Data Garansi'!$E:$I,5,0)</f>
        <v>Tidak</v>
      </c>
      <c r="K78" s="6">
        <f>VLOOKUP(F78,'Tgl MC Free'!B:M,8,0)</f>
        <v>46323</v>
      </c>
      <c r="L78" s="6">
        <f>VLOOKUP(F78,'Tgl Maintenance untuk Kontrak'!$D:$M,10,0)</f>
        <v>46054</v>
      </c>
      <c r="M78" s="5" t="str">
        <f>TEXT(L78,"mmm")</f>
        <v>Feb</v>
      </c>
    </row>
    <row r="79" spans="1:13" x14ac:dyDescent="0.3">
      <c r="A79" s="5">
        <v>77</v>
      </c>
      <c r="B79" s="5" t="s">
        <v>363</v>
      </c>
      <c r="C79" s="5" t="s">
        <v>272</v>
      </c>
      <c r="D79" s="6">
        <v>44865</v>
      </c>
      <c r="E79" s="6" t="str">
        <f>TEXT(L79,"mmm")</f>
        <v>Apr</v>
      </c>
      <c r="F79" s="8" t="s">
        <v>69</v>
      </c>
      <c r="G79" s="8" t="s">
        <v>617</v>
      </c>
      <c r="H79" s="15">
        <f>VLOOKUP(F79,'Counting Free'!$B:$F,4,0)</f>
        <v>0</v>
      </c>
      <c r="I79" s="14">
        <f>VLOOKUP(F79,'Counting Kontrak'!B:E,4,0)</f>
        <v>0</v>
      </c>
      <c r="J79" s="5" t="str">
        <f ca="1">VLOOKUP(F79,'Data Garansi'!$E:$I,5,0)</f>
        <v>Tidak</v>
      </c>
      <c r="K79" s="6">
        <f>VLOOKUP(F79,'Tgl MC Free'!B:M,8,0)</f>
        <v>45953</v>
      </c>
      <c r="L79" s="6">
        <f>VLOOKUP(F79,'Tgl Maintenance untuk Kontrak'!$D:$M,10,0)</f>
        <v>45773</v>
      </c>
      <c r="M79" s="5" t="str">
        <f>TEXT(L79,"mmm")</f>
        <v>Apr</v>
      </c>
    </row>
    <row r="80" spans="1:13" x14ac:dyDescent="0.3">
      <c r="A80" s="5">
        <v>78</v>
      </c>
      <c r="B80" s="5" t="s">
        <v>367</v>
      </c>
      <c r="C80" s="5" t="s">
        <v>277</v>
      </c>
      <c r="D80" s="6">
        <v>44872</v>
      </c>
      <c r="E80" s="6" t="str">
        <f>TEXT(L80,"mmm")</f>
        <v>May</v>
      </c>
      <c r="F80" s="8" t="s">
        <v>75</v>
      </c>
      <c r="G80" s="8" t="s">
        <v>608</v>
      </c>
      <c r="H80" s="15">
        <f>VLOOKUP(F80,'Counting Free'!$B:$F,4,0)</f>
        <v>0</v>
      </c>
      <c r="I80" s="14">
        <f>VLOOKUP(F80,'Counting Kontrak'!B:E,4,0)</f>
        <v>0</v>
      </c>
      <c r="J80" s="5" t="str">
        <f ca="1">VLOOKUP(F80,'Data Garansi'!$E:$I,5,0)</f>
        <v>Tidak</v>
      </c>
      <c r="K80" s="6">
        <f>VLOOKUP(F80,'Tgl MC Free'!B:M,8,0)</f>
        <v>45985</v>
      </c>
      <c r="L80" s="6">
        <f>VLOOKUP(F80,'Tgl Maintenance untuk Kontrak'!$D:$M,10,0)</f>
        <v>46168</v>
      </c>
      <c r="M80" s="5" t="str">
        <f>TEXT(L80,"mmm")</f>
        <v>May</v>
      </c>
    </row>
    <row r="81" spans="1:13" x14ac:dyDescent="0.3">
      <c r="A81" s="5">
        <v>79</v>
      </c>
      <c r="B81" s="5" t="s">
        <v>368</v>
      </c>
      <c r="C81" s="5" t="s">
        <v>284</v>
      </c>
      <c r="D81" s="6">
        <v>44891</v>
      </c>
      <c r="E81" s="6"/>
      <c r="F81" s="8" t="s">
        <v>85</v>
      </c>
      <c r="G81" s="8" t="s">
        <v>617</v>
      </c>
      <c r="H81" s="15">
        <f>VLOOKUP(F81,'Counting Free'!$B:$F,4,0)</f>
        <v>0</v>
      </c>
      <c r="I81" s="14">
        <f>VLOOKUP(F81,'Counting Kontrak'!B:E,4,0)</f>
        <v>0</v>
      </c>
      <c r="J81" s="5" t="str">
        <f ca="1">VLOOKUP(F81,'Data Garansi'!$E:$I,5,0)</f>
        <v>Tidak</v>
      </c>
      <c r="K81" s="6">
        <f>VLOOKUP(F81,'Tgl MC Free'!B:M,8,0)</f>
        <v>360</v>
      </c>
      <c r="L81" s="6">
        <f>VLOOKUP(F81,'Tgl Maintenance untuk Kontrak'!$D:$M,10,0)</f>
        <v>0</v>
      </c>
    </row>
    <row r="82" spans="1:13" x14ac:dyDescent="0.3">
      <c r="A82" s="5">
        <v>80</v>
      </c>
      <c r="B82" s="5" t="s">
        <v>372</v>
      </c>
      <c r="C82" s="5" t="s">
        <v>335</v>
      </c>
      <c r="D82" s="6">
        <v>44895</v>
      </c>
      <c r="E82" s="6"/>
      <c r="F82" s="8" t="s">
        <v>138</v>
      </c>
      <c r="G82" s="8" t="s">
        <v>610</v>
      </c>
      <c r="H82" s="15">
        <f>VLOOKUP(F82,'Counting Free'!$B:$F,4,0)</f>
        <v>0</v>
      </c>
      <c r="I82" s="14">
        <f>VLOOKUP(F82,'Counting Kontrak'!B:E,4,0)</f>
        <v>0</v>
      </c>
      <c r="J82" s="5" t="str">
        <f ca="1">VLOOKUP(F82,'Data Garansi'!$E:$I,5,0)</f>
        <v>Tidak</v>
      </c>
      <c r="K82" s="6">
        <f>VLOOKUP(F82,'Tgl MC Free'!B:M,8,0)</f>
        <v>360</v>
      </c>
      <c r="L82" s="6">
        <f>VLOOKUP(F82,'Tgl Maintenance untuk Kontrak'!$D:$M,10,0)</f>
        <v>46054</v>
      </c>
    </row>
    <row r="83" spans="1:13" x14ac:dyDescent="0.3">
      <c r="A83" s="5">
        <v>81</v>
      </c>
      <c r="B83" s="5" t="s">
        <v>364</v>
      </c>
      <c r="C83" s="5" t="s">
        <v>299</v>
      </c>
      <c r="D83" s="6">
        <v>44896</v>
      </c>
      <c r="E83" s="6"/>
      <c r="F83" s="8" t="s">
        <v>99</v>
      </c>
      <c r="G83" s="8" t="s">
        <v>610</v>
      </c>
      <c r="H83" s="15">
        <f>VLOOKUP(F83,'Counting Free'!$B:$F,4,0)</f>
        <v>0</v>
      </c>
      <c r="I83" s="14">
        <f>VLOOKUP(F83,'Counting Kontrak'!B:E,4,0)</f>
        <v>0</v>
      </c>
      <c r="J83" s="5" t="str">
        <f ca="1">VLOOKUP(F83,'Data Garansi'!$E:$I,5,0)</f>
        <v>Tidak</v>
      </c>
      <c r="K83" s="6">
        <f>VLOOKUP(F83,'Tgl MC Free'!B:M,8,0)</f>
        <v>360</v>
      </c>
      <c r="L83" s="6">
        <f>VLOOKUP(F83,'Tgl Maintenance untuk Kontrak'!$D:$M,10,0)</f>
        <v>0</v>
      </c>
    </row>
    <row r="84" spans="1:13" x14ac:dyDescent="0.3">
      <c r="A84" s="5">
        <v>82</v>
      </c>
      <c r="B84" s="5" t="s">
        <v>367</v>
      </c>
      <c r="C84" s="5" t="s">
        <v>296</v>
      </c>
      <c r="D84" s="6">
        <v>44912</v>
      </c>
      <c r="E84" s="6"/>
      <c r="F84" s="8" t="s">
        <v>96</v>
      </c>
      <c r="G84" s="8" t="s">
        <v>613</v>
      </c>
      <c r="H84" s="15">
        <f>VLOOKUP(F84,'Counting Free'!$B:$F,4,0)</f>
        <v>0</v>
      </c>
      <c r="I84" s="14">
        <f>VLOOKUP(F84,'Counting Kontrak'!B:E,4,0)</f>
        <v>0</v>
      </c>
      <c r="J84" s="5" t="str">
        <f ca="1">VLOOKUP(F84,'Data Garansi'!$E:$I,5,0)</f>
        <v>Tidak</v>
      </c>
      <c r="K84" s="6">
        <f>VLOOKUP(F84,'Tgl MC Free'!B:M,8,0)</f>
        <v>360</v>
      </c>
      <c r="L84" s="6">
        <f>VLOOKUP(F84,'Tgl Maintenance untuk Kontrak'!$D:$M,10,0)</f>
        <v>46142</v>
      </c>
    </row>
    <row r="85" spans="1:13" x14ac:dyDescent="0.3">
      <c r="A85" s="5">
        <v>83</v>
      </c>
      <c r="B85" s="5" t="s">
        <v>368</v>
      </c>
      <c r="C85" s="5" t="s">
        <v>294</v>
      </c>
      <c r="D85" s="6">
        <v>44937</v>
      </c>
      <c r="E85" s="6"/>
      <c r="F85" s="8" t="s">
        <v>426</v>
      </c>
      <c r="G85" s="8" t="s">
        <v>612</v>
      </c>
      <c r="H85" s="15">
        <f>VLOOKUP(F85,'Counting Free'!$B:$F,4,0)</f>
        <v>0</v>
      </c>
      <c r="I85" s="14">
        <f>VLOOKUP(F85,'Counting Kontrak'!B:E,4,0)</f>
        <v>0</v>
      </c>
      <c r="J85" s="5" t="str">
        <f ca="1">VLOOKUP(F85,'Data Garansi'!$E:$I,5,0)</f>
        <v>Tidak</v>
      </c>
      <c r="K85" s="6">
        <f>VLOOKUP(F85,'Tgl MC Free'!B:M,8,0)</f>
        <v>360</v>
      </c>
      <c r="L85" s="6">
        <f>VLOOKUP(F85,'Tgl Maintenance untuk Kontrak'!$D:$M,10,0)</f>
        <v>46064</v>
      </c>
    </row>
    <row r="86" spans="1:13" x14ac:dyDescent="0.3">
      <c r="A86" s="5">
        <v>84</v>
      </c>
      <c r="B86" s="5" t="s">
        <v>370</v>
      </c>
      <c r="C86" s="5" t="s">
        <v>291</v>
      </c>
      <c r="D86" s="6">
        <v>44954</v>
      </c>
      <c r="E86" s="6"/>
      <c r="F86" s="8" t="s">
        <v>92</v>
      </c>
      <c r="G86" s="8" t="s">
        <v>611</v>
      </c>
      <c r="H86" s="15">
        <f>VLOOKUP(F86,'Counting Free'!$B:$F,4,0)</f>
        <v>0</v>
      </c>
      <c r="I86" s="14">
        <f>VLOOKUP(F86,'Counting Kontrak'!B:E,4,0)</f>
        <v>0</v>
      </c>
      <c r="J86" s="5" t="str">
        <f ca="1">VLOOKUP(F86,'Data Garansi'!$E:$I,5,0)</f>
        <v>Tidak</v>
      </c>
      <c r="K86" s="6">
        <f>VLOOKUP(F86,'Tgl MC Free'!B:M,8,0)</f>
        <v>360</v>
      </c>
      <c r="L86" s="6" t="str">
        <f>VLOOKUP(F86,'Tgl Maintenance untuk Kontrak'!$D:$M,10,0)</f>
        <v>-</v>
      </c>
    </row>
    <row r="87" spans="1:13" x14ac:dyDescent="0.3">
      <c r="A87" s="5">
        <v>85</v>
      </c>
      <c r="B87" s="5" t="s">
        <v>370</v>
      </c>
      <c r="C87" s="5" t="s">
        <v>292</v>
      </c>
      <c r="D87" s="6">
        <v>44963</v>
      </c>
      <c r="E87" s="6"/>
      <c r="F87" s="8" t="s">
        <v>93</v>
      </c>
      <c r="G87" s="8" t="s">
        <v>622</v>
      </c>
      <c r="H87" s="15">
        <f>VLOOKUP(F87,'Counting Free'!$B:$F,4,0)</f>
        <v>0</v>
      </c>
      <c r="I87" s="14">
        <f>VLOOKUP(F87,'Counting Kontrak'!B:E,4,0)</f>
        <v>0</v>
      </c>
      <c r="J87" s="5" t="str">
        <f ca="1">VLOOKUP(F87,'Data Garansi'!$E:$I,5,0)</f>
        <v>Tidak</v>
      </c>
      <c r="K87" s="6">
        <f>VLOOKUP(F87,'Tgl MC Free'!B:M,8,0)</f>
        <v>360</v>
      </c>
      <c r="L87" s="6">
        <f>VLOOKUP(F87,'Tgl Maintenance untuk Kontrak'!$D:$M,10,0)</f>
        <v>0</v>
      </c>
    </row>
    <row r="88" spans="1:13" x14ac:dyDescent="0.3">
      <c r="A88" s="5">
        <v>86</v>
      </c>
      <c r="B88" s="5" t="s">
        <v>380</v>
      </c>
      <c r="C88" s="5" t="s">
        <v>315</v>
      </c>
      <c r="D88" s="6">
        <v>44967</v>
      </c>
      <c r="E88" s="6"/>
      <c r="F88" s="8" t="s">
        <v>115</v>
      </c>
      <c r="G88" s="8" t="s">
        <v>610</v>
      </c>
      <c r="H88" s="15">
        <f>VLOOKUP(F88,'Counting Free'!$B:$F,4,0)</f>
        <v>0</v>
      </c>
      <c r="I88" s="14">
        <f>VLOOKUP(F88,'Counting Kontrak'!B:E,4,0)</f>
        <v>0</v>
      </c>
      <c r="J88" s="5" t="str">
        <f ca="1">VLOOKUP(F88,'Data Garansi'!$E:$I,5,0)</f>
        <v>Tidak</v>
      </c>
      <c r="K88" s="6">
        <f>VLOOKUP(F88,'Tgl MC Free'!B:M,8,0)</f>
        <v>360</v>
      </c>
      <c r="L88" s="6">
        <f>VLOOKUP(F88,'Tgl Maintenance untuk Kontrak'!$D:$M,10,0)</f>
        <v>46239</v>
      </c>
    </row>
    <row r="89" spans="1:13" x14ac:dyDescent="0.3">
      <c r="A89" s="5">
        <v>87</v>
      </c>
      <c r="B89" s="5" t="s">
        <v>367</v>
      </c>
      <c r="C89" s="5" t="s">
        <v>301</v>
      </c>
      <c r="D89" s="6">
        <v>44968</v>
      </c>
      <c r="E89" s="6"/>
      <c r="F89" s="8" t="s">
        <v>101</v>
      </c>
      <c r="G89" s="8" t="s">
        <v>610</v>
      </c>
      <c r="H89" s="15">
        <f>VLOOKUP(F89,'Counting Free'!$B:$F,4,0)</f>
        <v>0</v>
      </c>
      <c r="I89" s="14">
        <f>VLOOKUP(F89,'Counting Kontrak'!B:E,4,0)</f>
        <v>0</v>
      </c>
      <c r="J89" s="5" t="str">
        <f ca="1">VLOOKUP(F89,'Data Garansi'!$E:$I,5,0)</f>
        <v>Tidak</v>
      </c>
      <c r="K89" s="6">
        <f>VLOOKUP(F89,'Tgl MC Free'!B:M,8,0)</f>
        <v>360</v>
      </c>
      <c r="L89" s="6">
        <f>VLOOKUP(F89,'Tgl Maintenance untuk Kontrak'!$D:$M,10,0)</f>
        <v>0</v>
      </c>
    </row>
    <row r="90" spans="1:13" x14ac:dyDescent="0.3">
      <c r="A90" s="5">
        <v>88</v>
      </c>
      <c r="B90" s="5" t="s">
        <v>377</v>
      </c>
      <c r="C90" s="5" t="s">
        <v>307</v>
      </c>
      <c r="D90" s="6">
        <v>44979</v>
      </c>
      <c r="E90" s="6" t="str">
        <f>TEXT(L90,"mmm")</f>
        <v>Jan</v>
      </c>
      <c r="F90" s="8" t="s">
        <v>107</v>
      </c>
      <c r="G90" s="8" t="s">
        <v>634</v>
      </c>
      <c r="H90" s="15">
        <f>VLOOKUP(F90,'Counting Free'!$B:$F,4,0)</f>
        <v>0</v>
      </c>
      <c r="I90" s="14">
        <f>VLOOKUP(F90,'Counting Kontrak'!B:E,4,0)</f>
        <v>0</v>
      </c>
      <c r="J90" s="5" t="str">
        <f ca="1">VLOOKUP(F90,'Data Garansi'!$E:$I,5,0)</f>
        <v>Tidak</v>
      </c>
      <c r="K90" s="6">
        <f>VLOOKUP(F90,'Tgl MC Free'!B:M,8,0)</f>
        <v>46091</v>
      </c>
      <c r="L90" s="6">
        <f>VLOOKUP(F90,'Tgl Maintenance untuk Kontrak'!$D:$M,10,0)</f>
        <v>46039</v>
      </c>
      <c r="M90" s="5" t="str">
        <f>TEXT(L90,"mmm")</f>
        <v>Jan</v>
      </c>
    </row>
    <row r="91" spans="1:13" x14ac:dyDescent="0.3">
      <c r="A91" s="5">
        <v>89</v>
      </c>
      <c r="B91" s="5" t="s">
        <v>376</v>
      </c>
      <c r="C91" s="5" t="s">
        <v>305</v>
      </c>
      <c r="D91" s="6">
        <v>44979</v>
      </c>
      <c r="E91" s="6"/>
      <c r="F91" s="8" t="s">
        <v>105</v>
      </c>
      <c r="G91" s="8" t="s">
        <v>610</v>
      </c>
      <c r="H91" s="15">
        <f>VLOOKUP(F91,'Counting Free'!$B:$F,4,0)</f>
        <v>0</v>
      </c>
      <c r="I91" s="14">
        <f>VLOOKUP(F91,'Counting Kontrak'!B:E,4,0)</f>
        <v>0</v>
      </c>
      <c r="J91" s="5" t="str">
        <f ca="1">VLOOKUP(F91,'Data Garansi'!$E:$I,5,0)</f>
        <v>Tidak</v>
      </c>
      <c r="K91" s="6">
        <f>VLOOKUP(F91,'Tgl MC Free'!B:M,8,0)</f>
        <v>360</v>
      </c>
      <c r="L91" s="6">
        <f>VLOOKUP(F91,'Tgl Maintenance untuk Kontrak'!$D:$M,10,0)</f>
        <v>46516</v>
      </c>
    </row>
    <row r="92" spans="1:13" x14ac:dyDescent="0.3">
      <c r="A92" s="5">
        <v>90</v>
      </c>
      <c r="B92" s="5" t="s">
        <v>367</v>
      </c>
      <c r="C92" s="5" t="s">
        <v>310</v>
      </c>
      <c r="D92" s="6">
        <v>44980</v>
      </c>
      <c r="E92" s="6"/>
      <c r="F92" s="8" t="s">
        <v>110</v>
      </c>
      <c r="G92" s="8" t="s">
        <v>635</v>
      </c>
      <c r="H92" s="15">
        <f>VLOOKUP(F92,'Counting Free'!$B:$F,4,0)</f>
        <v>0</v>
      </c>
      <c r="I92" s="14">
        <f>VLOOKUP(F92,'Counting Kontrak'!B:E,4,0)</f>
        <v>0</v>
      </c>
      <c r="J92" s="5" t="str">
        <f ca="1">VLOOKUP(F92,'Data Garansi'!$E:$I,5,0)</f>
        <v>Tidak</v>
      </c>
      <c r="K92" s="6">
        <f>VLOOKUP(F92,'Tgl MC Free'!B:M,8,0)</f>
        <v>360</v>
      </c>
      <c r="L92" s="6">
        <f>VLOOKUP(F92,'Tgl Maintenance untuk Kontrak'!$D:$M,10,0)</f>
        <v>46144</v>
      </c>
    </row>
    <row r="93" spans="1:13" x14ac:dyDescent="0.3">
      <c r="A93" s="5">
        <v>91</v>
      </c>
      <c r="B93" s="5" t="s">
        <v>367</v>
      </c>
      <c r="C93" s="5" t="s">
        <v>311</v>
      </c>
      <c r="D93" s="6">
        <v>44980</v>
      </c>
      <c r="E93" s="6"/>
      <c r="F93" s="8" t="s">
        <v>111</v>
      </c>
      <c r="G93" s="8" t="s">
        <v>635</v>
      </c>
      <c r="H93" s="15">
        <f>VLOOKUP(F93,'Counting Free'!$B:$F,4,0)</f>
        <v>0</v>
      </c>
      <c r="I93" s="14">
        <f>VLOOKUP(F93,'Counting Kontrak'!B:E,4,0)</f>
        <v>0</v>
      </c>
      <c r="J93" s="5" t="str">
        <f ca="1">VLOOKUP(F93,'Data Garansi'!$E:$I,5,0)</f>
        <v>Tidak</v>
      </c>
      <c r="K93" s="6">
        <f>VLOOKUP(F93,'Tgl MC Free'!B:M,8,0)</f>
        <v>360</v>
      </c>
      <c r="L93" s="6">
        <f>VLOOKUP(F93,'Tgl Maintenance untuk Kontrak'!$D:$M,10,0)</f>
        <v>46144</v>
      </c>
    </row>
    <row r="94" spans="1:13" x14ac:dyDescent="0.3">
      <c r="A94" s="5">
        <v>92</v>
      </c>
      <c r="B94" s="5" t="s">
        <v>372</v>
      </c>
      <c r="C94" s="5" t="s">
        <v>298</v>
      </c>
      <c r="D94" s="6">
        <v>44985</v>
      </c>
      <c r="E94" s="6"/>
      <c r="F94" s="8" t="s">
        <v>98</v>
      </c>
      <c r="G94" s="8" t="s">
        <v>617</v>
      </c>
      <c r="H94" s="15">
        <f>VLOOKUP(F94,'Counting Free'!$B:$F,4,0)</f>
        <v>0</v>
      </c>
      <c r="I94" s="14">
        <f>VLOOKUP(F94,'Counting Kontrak'!B:E,4,0)</f>
        <v>0</v>
      </c>
      <c r="J94" s="5" t="str">
        <f ca="1">VLOOKUP(F94,'Data Garansi'!$E:$I,5,0)</f>
        <v>Tidak</v>
      </c>
      <c r="K94" s="6">
        <f>VLOOKUP(F94,'Tgl MC Free'!B:M,8,0)</f>
        <v>360</v>
      </c>
      <c r="L94" s="6">
        <f>VLOOKUP(F94,'Tgl Maintenance untuk Kontrak'!$D:$M,10,0)</f>
        <v>45897</v>
      </c>
    </row>
    <row r="95" spans="1:13" x14ac:dyDescent="0.3">
      <c r="A95" s="5">
        <v>93</v>
      </c>
      <c r="B95" s="5" t="s">
        <v>362</v>
      </c>
      <c r="C95" s="5" t="s">
        <v>243</v>
      </c>
      <c r="D95" s="6">
        <v>44993</v>
      </c>
      <c r="E95" s="6" t="str">
        <f>TEXT(L95,"mmm")</f>
        <v>-</v>
      </c>
      <c r="F95" s="8" t="s">
        <v>40</v>
      </c>
      <c r="G95" s="8" t="s">
        <v>636</v>
      </c>
      <c r="H95" s="15">
        <f>VLOOKUP(F95,'Counting Free'!$B:$F,4,0)</f>
        <v>0</v>
      </c>
      <c r="I95" s="14">
        <f>VLOOKUP(F95,'Counting Kontrak'!B:E,4,0)</f>
        <v>0</v>
      </c>
      <c r="J95" s="5" t="str">
        <f ca="1">VLOOKUP(F95,'Data Garansi'!$E:$I,5,0)</f>
        <v>Tidak</v>
      </c>
      <c r="K95" s="6">
        <f>VLOOKUP(F95,'Tgl MC Free'!B:M,8,0)</f>
        <v>46160</v>
      </c>
      <c r="L95" s="6" t="str">
        <f>VLOOKUP(F95,'Tgl Maintenance untuk Kontrak'!$D:$M,10,0)</f>
        <v>-</v>
      </c>
      <c r="M95" s="5" t="str">
        <f>TEXT(L95,"mmm")</f>
        <v>-</v>
      </c>
    </row>
    <row r="96" spans="1:13" x14ac:dyDescent="0.3">
      <c r="A96" s="5">
        <v>94</v>
      </c>
      <c r="B96" s="5" t="s">
        <v>367</v>
      </c>
      <c r="C96" s="5" t="s">
        <v>255</v>
      </c>
      <c r="D96" s="6">
        <v>45002</v>
      </c>
      <c r="E96" s="6" t="str">
        <f>TEXT(L96,"mmm")</f>
        <v>Mar</v>
      </c>
      <c r="F96" s="8" t="s">
        <v>52</v>
      </c>
      <c r="G96" s="8" t="s">
        <v>611</v>
      </c>
      <c r="H96" s="15">
        <f>VLOOKUP(F96,'Counting Free'!$B:$F,4,0)</f>
        <v>0</v>
      </c>
      <c r="I96" s="14">
        <f>VLOOKUP(F96,'Counting Kontrak'!B:E,4,0)</f>
        <v>0</v>
      </c>
      <c r="J96" s="5" t="str">
        <f ca="1">VLOOKUP(F96,'Data Garansi'!$E:$I,5,0)</f>
        <v>Tidak</v>
      </c>
      <c r="K96" s="6">
        <f>VLOOKUP(F96,'Tgl MC Free'!B:M,8,0)</f>
        <v>46101</v>
      </c>
      <c r="L96" s="6">
        <f>VLOOKUP(F96,'Tgl Maintenance untuk Kontrak'!$D:$M,10,0)</f>
        <v>46084</v>
      </c>
      <c r="M96" s="5" t="str">
        <f>TEXT(L96,"mmm")</f>
        <v>Mar</v>
      </c>
    </row>
    <row r="97" spans="1:13" x14ac:dyDescent="0.3">
      <c r="A97" s="5">
        <v>95</v>
      </c>
      <c r="B97" s="5" t="s">
        <v>341</v>
      </c>
      <c r="C97" s="5" t="s">
        <v>341</v>
      </c>
      <c r="D97" s="6">
        <v>45006</v>
      </c>
      <c r="E97" s="6"/>
      <c r="F97" s="8" t="s">
        <v>146</v>
      </c>
      <c r="G97" s="8" t="s">
        <v>608</v>
      </c>
      <c r="H97" s="15">
        <f>VLOOKUP(F97,'Counting Free'!$B:$F,4,0)</f>
        <v>0</v>
      </c>
      <c r="I97" s="14">
        <f>VLOOKUP(F97,'Counting Kontrak'!B:E,4,0)</f>
        <v>0</v>
      </c>
      <c r="J97" s="5" t="str">
        <f ca="1">VLOOKUP(F97,'Data Garansi'!$E:$I,5,0)</f>
        <v>Tidak</v>
      </c>
      <c r="K97" s="6">
        <f>VLOOKUP(F97,'Tgl MC Free'!B:M,8,0)</f>
        <v>360</v>
      </c>
      <c r="L97" s="6">
        <f>VLOOKUP(F97,'Tgl Maintenance untuk Kontrak'!$D:$M,10,0)</f>
        <v>46273</v>
      </c>
    </row>
    <row r="98" spans="1:13" x14ac:dyDescent="0.3">
      <c r="A98" s="5">
        <v>96</v>
      </c>
      <c r="B98" s="5" t="s">
        <v>376</v>
      </c>
      <c r="C98" s="5" t="s">
        <v>306</v>
      </c>
      <c r="D98" s="6">
        <v>45015</v>
      </c>
      <c r="E98" s="6"/>
      <c r="F98" s="8" t="s">
        <v>106</v>
      </c>
      <c r="G98" s="8" t="s">
        <v>637</v>
      </c>
      <c r="H98" s="15">
        <f>VLOOKUP(F98,'Counting Free'!$B:$F,4,0)</f>
        <v>0</v>
      </c>
      <c r="I98" s="14">
        <f>VLOOKUP(F98,'Counting Kontrak'!B:E,4,0)</f>
        <v>0</v>
      </c>
      <c r="J98" s="5" t="str">
        <f ca="1">VLOOKUP(F98,'Data Garansi'!$E:$I,5,0)</f>
        <v>Tidak</v>
      </c>
      <c r="K98" s="6">
        <f>VLOOKUP(F98,'Tgl MC Free'!B:M,8,0)</f>
        <v>360</v>
      </c>
      <c r="L98" s="6">
        <f>VLOOKUP(F98,'Tgl Maintenance untuk Kontrak'!$D:$M,10,0)</f>
        <v>46026</v>
      </c>
    </row>
    <row r="99" spans="1:13" x14ac:dyDescent="0.3">
      <c r="A99" s="5">
        <v>97</v>
      </c>
      <c r="B99" s="5" t="s">
        <v>370</v>
      </c>
      <c r="C99" s="5" t="s">
        <v>316</v>
      </c>
      <c r="D99" s="6">
        <v>45015</v>
      </c>
      <c r="E99" s="6"/>
      <c r="F99" s="8" t="s">
        <v>116</v>
      </c>
      <c r="G99" s="8" t="s">
        <v>629</v>
      </c>
      <c r="H99" s="15">
        <f>VLOOKUP(F99,'Counting Free'!$B:$F,4,0)</f>
        <v>0</v>
      </c>
      <c r="I99" s="14">
        <f>VLOOKUP(F99,'Counting Kontrak'!B:E,4,0)</f>
        <v>0</v>
      </c>
      <c r="J99" s="5" t="str">
        <f ca="1">VLOOKUP(F99,'Data Garansi'!$E:$I,5,0)</f>
        <v>Tidak</v>
      </c>
      <c r="K99" s="6">
        <f>VLOOKUP(F99,'Tgl MC Free'!B:M,8,0)</f>
        <v>360</v>
      </c>
      <c r="L99" s="6">
        <f>VLOOKUP(F99,'Tgl Maintenance untuk Kontrak'!$D:$M,10,0)</f>
        <v>46063</v>
      </c>
    </row>
    <row r="100" spans="1:13" x14ac:dyDescent="0.3">
      <c r="A100" s="5">
        <v>98</v>
      </c>
      <c r="B100" s="5" t="s">
        <v>375</v>
      </c>
      <c r="C100" s="5" t="s">
        <v>304</v>
      </c>
      <c r="D100" s="6">
        <v>45016</v>
      </c>
      <c r="E100" s="6"/>
      <c r="F100" s="8" t="s">
        <v>104</v>
      </c>
      <c r="G100" s="8" t="s">
        <v>623</v>
      </c>
      <c r="H100" s="15">
        <f>VLOOKUP(F100,'Counting Free'!$B:$F,4,0)</f>
        <v>0</v>
      </c>
      <c r="I100" s="14">
        <f>VLOOKUP(F100,'Counting Kontrak'!B:E,4,0)</f>
        <v>0</v>
      </c>
      <c r="J100" s="5" t="str">
        <f ca="1">VLOOKUP(F100,'Data Garansi'!$E:$I,5,0)</f>
        <v>Tidak</v>
      </c>
      <c r="K100" s="6">
        <f>VLOOKUP(F100,'Tgl MC Free'!B:M,8,0)</f>
        <v>360</v>
      </c>
      <c r="L100" s="6">
        <f>VLOOKUP(F100,'Tgl Maintenance untuk Kontrak'!$D:$M,10,0)</f>
        <v>0</v>
      </c>
    </row>
    <row r="101" spans="1:13" x14ac:dyDescent="0.3">
      <c r="A101" s="5">
        <v>99</v>
      </c>
      <c r="B101" s="5" t="s">
        <v>368</v>
      </c>
      <c r="C101" s="5" t="s">
        <v>258</v>
      </c>
      <c r="D101" s="6">
        <v>45022</v>
      </c>
      <c r="E101" s="6" t="str">
        <f>TEXT(L101,"mmm")</f>
        <v>Mar</v>
      </c>
      <c r="F101" s="8" t="s">
        <v>56</v>
      </c>
      <c r="G101" s="8" t="s">
        <v>608</v>
      </c>
      <c r="H101" s="15">
        <f>VLOOKUP(F101,'Counting Free'!$B:$F,4,0)</f>
        <v>0</v>
      </c>
      <c r="I101" s="14">
        <f>VLOOKUP(F101,'Counting Kontrak'!B:E,4,0)</f>
        <v>0</v>
      </c>
      <c r="J101" s="5" t="str">
        <f ca="1">VLOOKUP(F101,'Data Garansi'!$E:$I,5,0)</f>
        <v>Tidak</v>
      </c>
      <c r="K101" s="6">
        <f>VLOOKUP(F101,'Tgl MC Free'!B:M,8,0)</f>
        <v>46263</v>
      </c>
      <c r="L101" s="6">
        <f>VLOOKUP(F101,'Tgl Maintenance untuk Kontrak'!$D:$M,10,0)</f>
        <v>45718</v>
      </c>
      <c r="M101" s="5" t="str">
        <f>TEXT(L101,"mmm")</f>
        <v>Mar</v>
      </c>
    </row>
    <row r="102" spans="1:13" x14ac:dyDescent="0.3">
      <c r="A102" s="5">
        <v>100</v>
      </c>
      <c r="B102" s="5" t="s">
        <v>367</v>
      </c>
      <c r="C102" s="5" t="s">
        <v>313</v>
      </c>
      <c r="D102" s="6">
        <v>45024</v>
      </c>
      <c r="E102" s="6"/>
      <c r="F102" s="8" t="s">
        <v>113</v>
      </c>
      <c r="G102" s="8" t="s">
        <v>617</v>
      </c>
      <c r="H102" s="15">
        <f>VLOOKUP(F102,'Counting Free'!$B:$F,4,0)</f>
        <v>0</v>
      </c>
      <c r="I102" s="14">
        <f>VLOOKUP(F102,'Counting Kontrak'!B:E,4,0)</f>
        <v>0</v>
      </c>
      <c r="J102" s="5" t="str">
        <f ca="1">VLOOKUP(F102,'Data Garansi'!$E:$I,5,0)</f>
        <v>Tidak</v>
      </c>
      <c r="K102" s="6">
        <f>VLOOKUP(F102,'Tgl MC Free'!B:M,8,0)</f>
        <v>360</v>
      </c>
      <c r="L102" s="6">
        <f>VLOOKUP(F102,'Tgl Maintenance untuk Kontrak'!$D:$M,10,0)</f>
        <v>45854</v>
      </c>
    </row>
    <row r="103" spans="1:13" x14ac:dyDescent="0.3">
      <c r="A103" s="5">
        <v>101</v>
      </c>
      <c r="B103" s="5" t="s">
        <v>380</v>
      </c>
      <c r="C103" s="5" t="s">
        <v>318</v>
      </c>
      <c r="D103" s="6">
        <v>45025</v>
      </c>
      <c r="E103" s="6"/>
      <c r="F103" s="8" t="s">
        <v>119</v>
      </c>
      <c r="G103" s="8" t="s">
        <v>611</v>
      </c>
      <c r="H103" s="15">
        <f>VLOOKUP(F103,'Counting Free'!$B:$F,4,0)</f>
        <v>0</v>
      </c>
      <c r="I103" s="14">
        <f>VLOOKUP(F103,'Counting Kontrak'!B:E,4,0)</f>
        <v>0</v>
      </c>
      <c r="J103" s="5" t="str">
        <f ca="1">VLOOKUP(F103,'Data Garansi'!$E:$I,5,0)</f>
        <v>Tidak</v>
      </c>
      <c r="K103" s="6">
        <f>VLOOKUP(F103,'Tgl MC Free'!B:M,8,0)</f>
        <v>360</v>
      </c>
      <c r="L103" s="6">
        <f>VLOOKUP(F103,'Tgl Maintenance untuk Kontrak'!$D:$M,10,0)</f>
        <v>45921</v>
      </c>
    </row>
    <row r="104" spans="1:13" x14ac:dyDescent="0.3">
      <c r="A104" s="5">
        <v>102</v>
      </c>
      <c r="B104" s="5" t="s">
        <v>367</v>
      </c>
      <c r="C104" s="5" t="s">
        <v>269</v>
      </c>
      <c r="D104" s="6">
        <v>45030</v>
      </c>
      <c r="E104" s="6" t="str">
        <f>TEXT(L104,"mmm")</f>
        <v>Apr</v>
      </c>
      <c r="F104" s="8" t="s">
        <v>66</v>
      </c>
      <c r="G104" s="8" t="s">
        <v>610</v>
      </c>
      <c r="H104" s="15">
        <f>VLOOKUP(F104,'Counting Free'!$B:$F,4,0)</f>
        <v>0</v>
      </c>
      <c r="I104" s="14">
        <f>VLOOKUP(F104,'Counting Kontrak'!B:E,4,0)</f>
        <v>0</v>
      </c>
      <c r="J104" s="5" t="str">
        <f ca="1">VLOOKUP(F104,'Data Garansi'!$E:$I,5,0)</f>
        <v>Tidak</v>
      </c>
      <c r="K104" s="6">
        <f>VLOOKUP(F104,'Tgl MC Free'!B:M,8,0)</f>
        <v>45939</v>
      </c>
      <c r="L104" s="6">
        <f>VLOOKUP(F104,'Tgl Maintenance untuk Kontrak'!$D:$M,10,0)</f>
        <v>45759</v>
      </c>
      <c r="M104" s="5" t="str">
        <f>TEXT(L104,"mmm")</f>
        <v>Apr</v>
      </c>
    </row>
    <row r="105" spans="1:13" x14ac:dyDescent="0.3">
      <c r="A105" s="5">
        <v>103</v>
      </c>
      <c r="B105" s="5" t="s">
        <v>382</v>
      </c>
      <c r="C105" s="5" t="s">
        <v>320</v>
      </c>
      <c r="D105" s="6">
        <v>45031</v>
      </c>
      <c r="E105" s="6"/>
      <c r="F105" s="8" t="s">
        <v>121</v>
      </c>
      <c r="G105" s="8" t="s">
        <v>611</v>
      </c>
      <c r="H105" s="15">
        <f>VLOOKUP(F105,'Counting Free'!$B:$F,4,0)</f>
        <v>0</v>
      </c>
      <c r="I105" s="14">
        <f>VLOOKUP(F105,'Counting Kontrak'!B:E,4,0)</f>
        <v>0</v>
      </c>
      <c r="J105" s="5" t="str">
        <f ca="1">VLOOKUP(F105,'Data Garansi'!$E:$I,5,0)</f>
        <v>Tidak</v>
      </c>
      <c r="K105" s="6">
        <f>VLOOKUP(F105,'Tgl MC Free'!B:M,8,0)</f>
        <v>360</v>
      </c>
      <c r="L105" s="6">
        <f>VLOOKUP(F105,'Tgl Maintenance untuk Kontrak'!$D:$M,10,0)</f>
        <v>46049</v>
      </c>
    </row>
    <row r="106" spans="1:13" x14ac:dyDescent="0.3">
      <c r="A106" s="5">
        <v>104</v>
      </c>
      <c r="B106" s="5" t="s">
        <v>368</v>
      </c>
      <c r="C106" s="5" t="s">
        <v>265</v>
      </c>
      <c r="D106" s="6">
        <v>45050</v>
      </c>
      <c r="E106" s="6" t="str">
        <f>TEXT(L106,"mmm")</f>
        <v>Jun</v>
      </c>
      <c r="F106" s="8" t="s">
        <v>63</v>
      </c>
      <c r="G106" s="8" t="s">
        <v>622</v>
      </c>
      <c r="H106" s="15">
        <f>VLOOKUP(F106,'Counting Free'!$B:$F,4,0)</f>
        <v>0</v>
      </c>
      <c r="I106" s="14">
        <f>VLOOKUP(F106,'Counting Kontrak'!B:E,4,0)</f>
        <v>0</v>
      </c>
      <c r="J106" s="5" t="str">
        <f ca="1">VLOOKUP(F106,'Data Garansi'!$E:$I,5,0)</f>
        <v>Tidak</v>
      </c>
      <c r="K106" s="6">
        <f>VLOOKUP(F106,'Tgl MC Free'!B:M,8,0)</f>
        <v>46005</v>
      </c>
      <c r="L106" s="6">
        <f>VLOOKUP(F106,'Tgl Maintenance untuk Kontrak'!$D:$M,10,0)</f>
        <v>45825</v>
      </c>
      <c r="M106" s="5" t="str">
        <f>TEXT(L106,"mmm")</f>
        <v>Jun</v>
      </c>
    </row>
    <row r="107" spans="1:13" x14ac:dyDescent="0.3">
      <c r="A107" s="5">
        <v>105</v>
      </c>
      <c r="B107" s="5" t="s">
        <v>373</v>
      </c>
      <c r="C107" s="5" t="s">
        <v>300</v>
      </c>
      <c r="D107" s="6">
        <v>45063</v>
      </c>
      <c r="E107" s="6" t="str">
        <f>TEXT(L107,"mmm")</f>
        <v>Nov</v>
      </c>
      <c r="F107" s="8" t="s">
        <v>100</v>
      </c>
      <c r="G107" s="8" t="s">
        <v>608</v>
      </c>
      <c r="H107" s="15">
        <f>VLOOKUP(F107,'Counting Free'!$B:$F,4,0)</f>
        <v>0</v>
      </c>
      <c r="I107" s="14">
        <f>VLOOKUP(F107,'Counting Kontrak'!B:E,4,0)</f>
        <v>0</v>
      </c>
      <c r="J107" s="5" t="str">
        <f ca="1">VLOOKUP(F107,'Data Garansi'!$E:$I,5,0)</f>
        <v>Tidak</v>
      </c>
      <c r="K107" s="6">
        <f>VLOOKUP(F107,'Tgl MC Free'!B:M,8,0)</f>
        <v>360</v>
      </c>
      <c r="L107" s="6">
        <f>VLOOKUP(F107,'Tgl Maintenance untuk Kontrak'!$D:$M,10,0)</f>
        <v>45982</v>
      </c>
      <c r="M107" s="5" t="str">
        <f>TEXT(L107,"mmm")</f>
        <v>Nov</v>
      </c>
    </row>
    <row r="108" spans="1:13" x14ac:dyDescent="0.3">
      <c r="A108" s="5">
        <v>106</v>
      </c>
      <c r="B108" s="5" t="s">
        <v>373</v>
      </c>
      <c r="C108" s="5" t="s">
        <v>303</v>
      </c>
      <c r="D108" s="6">
        <v>45069</v>
      </c>
      <c r="E108" s="6"/>
      <c r="F108" s="8" t="s">
        <v>103</v>
      </c>
      <c r="G108" s="8" t="s">
        <v>616</v>
      </c>
      <c r="H108" s="15">
        <f>VLOOKUP(F108,'Counting Free'!$B:$F,4,0)</f>
        <v>0</v>
      </c>
      <c r="I108" s="14">
        <f>VLOOKUP(F108,'Counting Kontrak'!B:E,4,0)</f>
        <v>0</v>
      </c>
      <c r="J108" s="5" t="str">
        <f ca="1">VLOOKUP(F108,'Data Garansi'!$E:$I,5,0)</f>
        <v>Tidak</v>
      </c>
      <c r="K108" s="6">
        <f>VLOOKUP(F108,'Tgl MC Free'!B:M,8,0)</f>
        <v>360</v>
      </c>
      <c r="L108" s="6">
        <f>VLOOKUP(F108,'Tgl Maintenance untuk Kontrak'!$D:$M,10,0)</f>
        <v>46155</v>
      </c>
    </row>
    <row r="109" spans="1:13" x14ac:dyDescent="0.3">
      <c r="A109" s="5">
        <v>107</v>
      </c>
      <c r="B109" s="5" t="s">
        <v>385</v>
      </c>
      <c r="C109" s="5" t="s">
        <v>207</v>
      </c>
      <c r="D109" s="6">
        <v>45069</v>
      </c>
      <c r="E109" s="6"/>
      <c r="F109" s="8" t="s">
        <v>130</v>
      </c>
      <c r="G109" s="8" t="s">
        <v>610</v>
      </c>
      <c r="H109" s="15">
        <f>VLOOKUP(F109,'Counting Free'!$B:$F,4,0)</f>
        <v>0</v>
      </c>
      <c r="I109" s="14">
        <f>VLOOKUP(F109,'Counting Kontrak'!B:E,4,0)</f>
        <v>0</v>
      </c>
      <c r="J109" s="5" t="str">
        <f ca="1">VLOOKUP(F109,'Data Garansi'!$E:$I,5,0)</f>
        <v>Tidak</v>
      </c>
      <c r="K109" s="6">
        <f>VLOOKUP(F109,'Tgl MC Free'!B:M,8,0)</f>
        <v>360</v>
      </c>
      <c r="L109" s="6">
        <f>VLOOKUP(F109,'Tgl Maintenance untuk Kontrak'!$D:$M,10,0)</f>
        <v>46246</v>
      </c>
    </row>
    <row r="110" spans="1:13" x14ac:dyDescent="0.3">
      <c r="A110" s="5">
        <v>108</v>
      </c>
      <c r="B110" s="5" t="s">
        <v>364</v>
      </c>
      <c r="C110" s="5" t="s">
        <v>334</v>
      </c>
      <c r="D110" s="6">
        <v>45075</v>
      </c>
      <c r="E110" s="6"/>
      <c r="F110" s="8" t="s">
        <v>137</v>
      </c>
      <c r="G110" s="8" t="s">
        <v>616</v>
      </c>
      <c r="H110" s="15">
        <f>VLOOKUP(F110,'Counting Free'!$B:$F,4,0)</f>
        <v>0</v>
      </c>
      <c r="I110" s="14">
        <f>VLOOKUP(F110,'Counting Kontrak'!B:E,4,0)</f>
        <v>0</v>
      </c>
      <c r="J110" s="5" t="str">
        <f ca="1">VLOOKUP(F110,'Data Garansi'!$E:$I,5,0)</f>
        <v>Tidak</v>
      </c>
      <c r="K110" s="6">
        <f>VLOOKUP(F110,'Tgl MC Free'!B:M,8,0)</f>
        <v>360</v>
      </c>
      <c r="L110" s="6">
        <f>VLOOKUP(F110,'Tgl Maintenance untuk Kontrak'!$D:$M,10,0)</f>
        <v>46110</v>
      </c>
    </row>
    <row r="111" spans="1:13" x14ac:dyDescent="0.3">
      <c r="A111" s="5">
        <v>109</v>
      </c>
      <c r="B111" s="5" t="s">
        <v>384</v>
      </c>
      <c r="C111" s="5" t="s">
        <v>336</v>
      </c>
      <c r="D111" s="6">
        <v>45077</v>
      </c>
      <c r="E111" s="6"/>
      <c r="F111" s="8" t="s">
        <v>139</v>
      </c>
      <c r="G111" s="8" t="s">
        <v>620</v>
      </c>
      <c r="H111" s="15">
        <f>VLOOKUP(F111,'Counting Free'!$B:$F,4,0)</f>
        <v>0</v>
      </c>
      <c r="I111" s="14">
        <f>VLOOKUP(F111,'Counting Kontrak'!B:E,4,0)</f>
        <v>0</v>
      </c>
      <c r="J111" s="5" t="str">
        <f ca="1">VLOOKUP(F111,'Data Garansi'!$E:$I,5,0)</f>
        <v>Tidak</v>
      </c>
      <c r="K111" s="6">
        <f>VLOOKUP(F111,'Tgl MC Free'!B:M,8,0)</f>
        <v>360</v>
      </c>
      <c r="L111" s="6">
        <f>VLOOKUP(F111,'Tgl Maintenance untuk Kontrak'!$D:$M,10,0)</f>
        <v>45964</v>
      </c>
    </row>
    <row r="112" spans="1:13" x14ac:dyDescent="0.3">
      <c r="A112" s="5">
        <v>110</v>
      </c>
      <c r="B112" s="5" t="s">
        <v>364</v>
      </c>
      <c r="C112" s="5" t="s">
        <v>319</v>
      </c>
      <c r="D112" s="6">
        <v>45084</v>
      </c>
      <c r="E112" s="6"/>
      <c r="F112" s="8" t="s">
        <v>135</v>
      </c>
      <c r="G112" s="8" t="s">
        <v>615</v>
      </c>
      <c r="H112" s="15">
        <f>VLOOKUP(F112,'Counting Free'!$B:$F,4,0)</f>
        <v>0</v>
      </c>
      <c r="I112" s="14">
        <f>VLOOKUP(F112,'Counting Kontrak'!B:E,4,0)</f>
        <v>0</v>
      </c>
      <c r="J112" s="5" t="str">
        <f ca="1">VLOOKUP(F112,'Data Garansi'!$E:$I,5,0)</f>
        <v>Tidak</v>
      </c>
      <c r="K112" s="6">
        <f>VLOOKUP(F112,'Tgl MC Free'!B:M,8,0)</f>
        <v>360</v>
      </c>
      <c r="L112" s="6">
        <f>VLOOKUP(F112,'Tgl Maintenance untuk Kontrak'!$D:$M,10,0)</f>
        <v>46204</v>
      </c>
    </row>
    <row r="113" spans="1:13" x14ac:dyDescent="0.3">
      <c r="A113" s="5">
        <v>111</v>
      </c>
      <c r="B113" s="5" t="s">
        <v>361</v>
      </c>
      <c r="C113" s="5" t="s">
        <v>207</v>
      </c>
      <c r="D113" s="6">
        <v>45085</v>
      </c>
      <c r="E113" s="6"/>
      <c r="F113" s="8" t="s">
        <v>152</v>
      </c>
      <c r="G113" s="8" t="s">
        <v>638</v>
      </c>
      <c r="H113" s="15">
        <f>VLOOKUP(F113,'Counting Free'!$B:$F,4,0)</f>
        <v>0</v>
      </c>
      <c r="I113" s="14">
        <f>VLOOKUP(F113,'Counting Kontrak'!B:E,4,0)</f>
        <v>0</v>
      </c>
      <c r="J113" s="5" t="str">
        <f ca="1">VLOOKUP(F113,'Data Garansi'!$E:$I,5,0)</f>
        <v>Tidak</v>
      </c>
      <c r="K113" s="6">
        <f>VLOOKUP(F113,'Tgl MC Free'!B:M,8,0)</f>
        <v>360</v>
      </c>
      <c r="L113" s="6">
        <f>VLOOKUP(F113,'Tgl Maintenance untuk Kontrak'!$D:$M,10,0)</f>
        <v>0</v>
      </c>
    </row>
    <row r="114" spans="1:13" x14ac:dyDescent="0.3">
      <c r="A114" s="5">
        <v>112</v>
      </c>
      <c r="B114" s="5" t="s">
        <v>361</v>
      </c>
      <c r="C114" s="5" t="s">
        <v>207</v>
      </c>
      <c r="D114" s="6">
        <v>45085</v>
      </c>
      <c r="E114" s="6"/>
      <c r="F114" s="8" t="s">
        <v>153</v>
      </c>
      <c r="G114" s="8" t="s">
        <v>608</v>
      </c>
      <c r="H114" s="15">
        <f>VLOOKUP(F114,'Counting Free'!$B:$F,4,0)</f>
        <v>0</v>
      </c>
      <c r="I114" s="14">
        <f>VLOOKUP(F114,'Counting Kontrak'!B:E,4,0)</f>
        <v>0</v>
      </c>
      <c r="J114" s="5" t="str">
        <f ca="1">VLOOKUP(F114,'Data Garansi'!$E:$I,5,0)</f>
        <v>Tidak</v>
      </c>
      <c r="K114" s="6">
        <f>VLOOKUP(F114,'Tgl MC Free'!B:M,8,0)</f>
        <v>360</v>
      </c>
      <c r="L114" s="6" t="str">
        <f>VLOOKUP(F114,'Tgl Maintenance untuk Kontrak'!$D:$M,10,0)</f>
        <v>13 juni 2025</v>
      </c>
    </row>
    <row r="115" spans="1:13" x14ac:dyDescent="0.3">
      <c r="A115" s="5">
        <v>113</v>
      </c>
      <c r="B115" s="5" t="s">
        <v>379</v>
      </c>
      <c r="C115" s="5" t="s">
        <v>314</v>
      </c>
      <c r="D115" s="6">
        <v>45086</v>
      </c>
      <c r="E115" s="6"/>
      <c r="F115" s="8" t="s">
        <v>114</v>
      </c>
      <c r="G115" s="8" t="s">
        <v>610</v>
      </c>
      <c r="H115" s="15">
        <f>VLOOKUP(F115,'Counting Free'!$B:$F,4,0)</f>
        <v>0</v>
      </c>
      <c r="I115" s="14">
        <f>VLOOKUP(F115,'Counting Kontrak'!B:E,4,0)</f>
        <v>0</v>
      </c>
      <c r="J115" s="5" t="str">
        <f ca="1">VLOOKUP(F115,'Data Garansi'!$E:$I,5,0)</f>
        <v>Tidak</v>
      </c>
      <c r="K115" s="6">
        <f>VLOOKUP(F115,'Tgl MC Free'!B:M,8,0)</f>
        <v>360</v>
      </c>
      <c r="L115" s="6">
        <f>VLOOKUP(F115,'Tgl Maintenance untuk Kontrak'!$D:$M,10,0)</f>
        <v>46063</v>
      </c>
    </row>
    <row r="116" spans="1:13" x14ac:dyDescent="0.3">
      <c r="A116" s="5">
        <v>114</v>
      </c>
      <c r="B116" s="5" t="s">
        <v>384</v>
      </c>
      <c r="C116" s="5" t="s">
        <v>325</v>
      </c>
      <c r="D116" s="6">
        <v>45087</v>
      </c>
      <c r="E116" s="6"/>
      <c r="F116" s="8" t="s">
        <v>125</v>
      </c>
      <c r="G116" s="8" t="s">
        <v>619</v>
      </c>
      <c r="H116" s="15">
        <f>VLOOKUP(F116,'Counting Free'!$B:$F,4,0)</f>
        <v>0</v>
      </c>
      <c r="I116" s="14">
        <f>VLOOKUP(F116,'Counting Kontrak'!B:E,4,0)</f>
        <v>0</v>
      </c>
      <c r="J116" s="5" t="str">
        <f ca="1">VLOOKUP(F116,'Data Garansi'!$E:$I,5,0)</f>
        <v>Tidak</v>
      </c>
      <c r="K116" s="6">
        <f>VLOOKUP(F116,'Tgl MC Free'!B:M,8,0)</f>
        <v>360</v>
      </c>
      <c r="L116" s="6">
        <f>VLOOKUP(F116,'Tgl Maintenance untuk Kontrak'!$D:$M,10,0)</f>
        <v>0</v>
      </c>
    </row>
    <row r="117" spans="1:13" x14ac:dyDescent="0.3">
      <c r="A117" s="5">
        <v>115</v>
      </c>
      <c r="B117" s="5" t="s">
        <v>384</v>
      </c>
      <c r="C117" s="5" t="s">
        <v>328</v>
      </c>
      <c r="D117" s="6">
        <v>45089</v>
      </c>
      <c r="E117" s="6"/>
      <c r="F117" s="8" t="s">
        <v>128</v>
      </c>
      <c r="G117" s="8" t="s">
        <v>619</v>
      </c>
      <c r="H117" s="15">
        <f>VLOOKUP(F117,'Counting Free'!$B:$F,4,0)</f>
        <v>0</v>
      </c>
      <c r="I117" s="14">
        <f>VLOOKUP(F117,'Counting Kontrak'!B:E,4,0)</f>
        <v>0</v>
      </c>
      <c r="J117" s="5" t="str">
        <f ca="1">VLOOKUP(F117,'Data Garansi'!$E:$I,5,0)</f>
        <v>Tidak</v>
      </c>
      <c r="K117" s="6">
        <f>VLOOKUP(F117,'Tgl MC Free'!B:M,8,0)</f>
        <v>360</v>
      </c>
      <c r="L117" s="6">
        <f>VLOOKUP(F117,'Tgl Maintenance untuk Kontrak'!$D:$M,10,0)</f>
        <v>0</v>
      </c>
    </row>
    <row r="118" spans="1:13" x14ac:dyDescent="0.3">
      <c r="A118" s="5">
        <v>116</v>
      </c>
      <c r="B118" s="5" t="s">
        <v>370</v>
      </c>
      <c r="C118" s="5" t="s">
        <v>317</v>
      </c>
      <c r="D118" s="6">
        <v>45094</v>
      </c>
      <c r="E118" s="6"/>
      <c r="F118" s="8" t="s">
        <v>117</v>
      </c>
      <c r="G118" s="8" t="s">
        <v>619</v>
      </c>
      <c r="H118" s="15">
        <f>VLOOKUP(F118,'Counting Free'!$B:$F,4,0)</f>
        <v>0</v>
      </c>
      <c r="I118" s="14">
        <f>VLOOKUP(F118,'Counting Kontrak'!B:E,4,0)</f>
        <v>0</v>
      </c>
      <c r="J118" s="5" t="str">
        <f ca="1">VLOOKUP(F118,'Data Garansi'!$E:$I,5,0)</f>
        <v>Tidak</v>
      </c>
      <c r="K118" s="6">
        <f>VLOOKUP(F118,'Tgl MC Free'!B:M,8,0)</f>
        <v>360</v>
      </c>
      <c r="L118" s="6">
        <f>VLOOKUP(F118,'Tgl Maintenance untuk Kontrak'!$D:$M,10,0)</f>
        <v>46103</v>
      </c>
    </row>
    <row r="119" spans="1:13" x14ac:dyDescent="0.3">
      <c r="A119" s="5">
        <v>117</v>
      </c>
      <c r="B119" s="5" t="s">
        <v>386</v>
      </c>
      <c r="C119" s="5" t="s">
        <v>332</v>
      </c>
      <c r="D119" s="6">
        <v>45094</v>
      </c>
      <c r="E119" s="6"/>
      <c r="F119" s="8" t="s">
        <v>134</v>
      </c>
      <c r="G119" s="8" t="s">
        <v>611</v>
      </c>
      <c r="H119" s="15">
        <f>VLOOKUP(F119,'Counting Free'!$B:$F,4,0)</f>
        <v>0</v>
      </c>
      <c r="I119" s="14">
        <f>VLOOKUP(F119,'Counting Kontrak'!B:E,4,0)</f>
        <v>0</v>
      </c>
      <c r="J119" s="5" t="str">
        <f ca="1">VLOOKUP(F119,'Data Garansi'!$E:$I,5,0)</f>
        <v>Tidak</v>
      </c>
      <c r="K119" s="6">
        <f>VLOOKUP(F119,'Tgl MC Free'!B:M,8,0)</f>
        <v>360</v>
      </c>
      <c r="L119" s="6">
        <f>VLOOKUP(F119,'Tgl Maintenance untuk Kontrak'!$D:$M,10,0)</f>
        <v>46216</v>
      </c>
    </row>
    <row r="120" spans="1:13" x14ac:dyDescent="0.3">
      <c r="A120" s="5">
        <v>118</v>
      </c>
      <c r="B120" s="5" t="s">
        <v>384</v>
      </c>
      <c r="C120" s="5" t="s">
        <v>337</v>
      </c>
      <c r="D120" s="6">
        <v>45094</v>
      </c>
      <c r="E120" s="6"/>
      <c r="F120" s="8" t="s">
        <v>140</v>
      </c>
      <c r="G120" s="8" t="s">
        <v>639</v>
      </c>
      <c r="H120" s="15">
        <f>VLOOKUP(F120,'Counting Free'!$B:$F,4,0)</f>
        <v>0</v>
      </c>
      <c r="I120" s="14">
        <f>VLOOKUP(F120,'Counting Kontrak'!B:E,4,0)</f>
        <v>0</v>
      </c>
      <c r="J120" s="5" t="str">
        <f ca="1">VLOOKUP(F120,'Data Garansi'!$E:$I,5,0)</f>
        <v>Tidak</v>
      </c>
      <c r="K120" s="6">
        <f>VLOOKUP(F120,'Tgl MC Free'!B:M,8,0)</f>
        <v>360</v>
      </c>
      <c r="L120" s="6">
        <f>VLOOKUP(F120,'Tgl Maintenance untuk Kontrak'!$D:$M,10,0)</f>
        <v>46061</v>
      </c>
    </row>
    <row r="121" spans="1:13" x14ac:dyDescent="0.3">
      <c r="A121" s="5">
        <v>119</v>
      </c>
      <c r="B121" s="5" t="s">
        <v>364</v>
      </c>
      <c r="C121" s="5" t="s">
        <v>327</v>
      </c>
      <c r="D121" s="6">
        <v>45099</v>
      </c>
      <c r="E121" s="6"/>
      <c r="F121" s="8" t="s">
        <v>127</v>
      </c>
      <c r="G121" s="8" t="s">
        <v>640</v>
      </c>
      <c r="H121" s="15">
        <f>VLOOKUP(F121,'Counting Free'!$B:$F,4,0)</f>
        <v>0</v>
      </c>
      <c r="I121" s="14">
        <f>VLOOKUP(F121,'Counting Kontrak'!B:E,4,0)</f>
        <v>0</v>
      </c>
      <c r="J121" s="5" t="str">
        <f ca="1">VLOOKUP(F121,'Data Garansi'!$E:$I,5,0)</f>
        <v>Tidak</v>
      </c>
      <c r="K121" s="6">
        <f>VLOOKUP(F121,'Tgl MC Free'!B:M,8,0)</f>
        <v>360</v>
      </c>
      <c r="L121" s="6">
        <f>VLOOKUP(F121,'Tgl Maintenance untuk Kontrak'!$D:$M,10,0)</f>
        <v>46017</v>
      </c>
    </row>
    <row r="122" spans="1:13" x14ac:dyDescent="0.3">
      <c r="A122" s="5">
        <v>120</v>
      </c>
      <c r="B122" s="5" t="s">
        <v>378</v>
      </c>
      <c r="C122" s="5" t="s">
        <v>312</v>
      </c>
      <c r="D122" s="6">
        <v>45107</v>
      </c>
      <c r="E122" s="6"/>
      <c r="F122" s="8" t="s">
        <v>112</v>
      </c>
      <c r="G122" s="8" t="s">
        <v>620</v>
      </c>
      <c r="H122" s="15">
        <f>VLOOKUP(F122,'Counting Free'!$B:$F,4,0)</f>
        <v>0</v>
      </c>
      <c r="I122" s="14">
        <f>VLOOKUP(F122,'Counting Kontrak'!B:E,4,0)</f>
        <v>0</v>
      </c>
      <c r="J122" s="5" t="str">
        <f ca="1">VLOOKUP(F122,'Data Garansi'!$E:$I,5,0)</f>
        <v>Tidak</v>
      </c>
      <c r="K122" s="6">
        <f>VLOOKUP(F122,'Tgl MC Free'!B:M,8,0)</f>
        <v>360</v>
      </c>
      <c r="L122" s="6">
        <f>VLOOKUP(F122,'Tgl Maintenance untuk Kontrak'!$D:$M,10,0)</f>
        <v>46109</v>
      </c>
    </row>
    <row r="123" spans="1:13" x14ac:dyDescent="0.3">
      <c r="A123" s="5">
        <v>121</v>
      </c>
      <c r="B123" s="5" t="s">
        <v>368</v>
      </c>
      <c r="C123" s="5" t="s">
        <v>288</v>
      </c>
      <c r="D123" s="6">
        <v>45111</v>
      </c>
      <c r="E123" s="6" t="str">
        <f>TEXT(L123,"mmm")</f>
        <v>Apr</v>
      </c>
      <c r="F123" s="8" t="s">
        <v>89</v>
      </c>
      <c r="G123" s="8" t="s">
        <v>611</v>
      </c>
      <c r="H123" s="15">
        <f>VLOOKUP(F123,'Counting Free'!$B:$F,4,0)</f>
        <v>0</v>
      </c>
      <c r="I123" s="14">
        <f>VLOOKUP(F123,'Counting Kontrak'!B:E,4,0)</f>
        <v>0</v>
      </c>
      <c r="J123" s="5" t="str">
        <f ca="1">VLOOKUP(F123,'Data Garansi'!$E:$I,5,0)</f>
        <v>Tidak</v>
      </c>
      <c r="K123" s="6">
        <f>VLOOKUP(F123,'Tgl MC Free'!B:M,8,0)</f>
        <v>46137</v>
      </c>
      <c r="L123" s="6">
        <f>VLOOKUP(F123,'Tgl Maintenance untuk Kontrak'!$D:$M,10,0)</f>
        <v>46137</v>
      </c>
      <c r="M123" s="5" t="str">
        <f>TEXT(L123,"mmm")</f>
        <v>Apr</v>
      </c>
    </row>
    <row r="124" spans="1:13" x14ac:dyDescent="0.3">
      <c r="A124" s="5">
        <v>122</v>
      </c>
      <c r="B124" s="5" t="s">
        <v>383</v>
      </c>
      <c r="C124" s="5" t="s">
        <v>324</v>
      </c>
      <c r="D124" s="6">
        <v>45112</v>
      </c>
      <c r="E124" s="6"/>
      <c r="F124" s="8" t="s">
        <v>124</v>
      </c>
      <c r="G124" s="8" t="s">
        <v>615</v>
      </c>
      <c r="H124" s="15">
        <f>VLOOKUP(F124,'Counting Free'!$B:$F,4,0)</f>
        <v>0</v>
      </c>
      <c r="I124" s="14">
        <f>VLOOKUP(F124,'Counting Kontrak'!B:E,4,0)</f>
        <v>0</v>
      </c>
      <c r="J124" s="5" t="str">
        <f ca="1">VLOOKUP(F124,'Data Garansi'!$E:$I,5,0)</f>
        <v>Tidak</v>
      </c>
      <c r="K124" s="6">
        <f>VLOOKUP(F124,'Tgl MC Free'!B:M,8,0)</f>
        <v>360</v>
      </c>
      <c r="L124" s="6">
        <f>VLOOKUP(F124,'Tgl Maintenance untuk Kontrak'!$D:$M,10,0)</f>
        <v>0</v>
      </c>
    </row>
    <row r="125" spans="1:13" x14ac:dyDescent="0.3">
      <c r="A125" s="5">
        <v>123</v>
      </c>
      <c r="B125" s="5" t="s">
        <v>387</v>
      </c>
      <c r="C125" s="5">
        <v>230100</v>
      </c>
      <c r="D125" s="6">
        <v>45118</v>
      </c>
      <c r="E125" s="6" t="str">
        <f>TEXT(L125,"mmm")</f>
        <v>Feb</v>
      </c>
      <c r="F125" s="8" t="s">
        <v>148</v>
      </c>
      <c r="G125" s="8" t="s">
        <v>608</v>
      </c>
      <c r="H125" s="15">
        <f>VLOOKUP(F125,'Counting Free'!$B:$F,4,0)</f>
        <v>0</v>
      </c>
      <c r="I125" s="14">
        <f>VLOOKUP(F125,'Counting Kontrak'!B:E,4,0)</f>
        <v>0</v>
      </c>
      <c r="J125" s="5" t="str">
        <f ca="1">VLOOKUP(F125,'Data Garansi'!$E:$I,5,0)</f>
        <v>Tidak</v>
      </c>
      <c r="K125" s="6">
        <f>VLOOKUP(F125,'Tgl MC Free'!B:M,8,0)</f>
        <v>46034</v>
      </c>
      <c r="L125" s="6">
        <f>VLOOKUP(F125,'Tgl Maintenance untuk Kontrak'!$D:$M,10,0)</f>
        <v>46067</v>
      </c>
      <c r="M125" s="5" t="str">
        <f>TEXT(L125,"mmm")</f>
        <v>Feb</v>
      </c>
    </row>
    <row r="126" spans="1:13" x14ac:dyDescent="0.3">
      <c r="A126" s="5">
        <v>124</v>
      </c>
      <c r="B126" s="5" t="s">
        <v>375</v>
      </c>
      <c r="C126" s="5" t="s">
        <v>309</v>
      </c>
      <c r="D126" s="6">
        <v>45120</v>
      </c>
      <c r="E126" s="6" t="str">
        <f>TEXT(L126,"mmm")</f>
        <v>Apr</v>
      </c>
      <c r="F126" s="8" t="s">
        <v>109</v>
      </c>
      <c r="G126" s="8" t="s">
        <v>612</v>
      </c>
      <c r="H126" s="15">
        <f>VLOOKUP(F126,'Counting Free'!$B:$F,4,0)</f>
        <v>0</v>
      </c>
      <c r="I126" s="14">
        <f>VLOOKUP(F126,'Counting Kontrak'!B:E,4,0)</f>
        <v>0</v>
      </c>
      <c r="J126" s="5" t="str">
        <f ca="1">VLOOKUP(F126,'Data Garansi'!$E:$I,5,0)</f>
        <v>Tidak</v>
      </c>
      <c r="K126" s="6">
        <f>VLOOKUP(F126,'Tgl MC Free'!B:M,8,0)</f>
        <v>46094</v>
      </c>
      <c r="L126" s="6">
        <f>VLOOKUP(F126,'Tgl Maintenance untuk Kontrak'!$D:$M,10,0)</f>
        <v>46127</v>
      </c>
      <c r="M126" s="5" t="str">
        <f>TEXT(L126,"mmm")</f>
        <v>Apr</v>
      </c>
    </row>
    <row r="127" spans="1:13" x14ac:dyDescent="0.3">
      <c r="A127" s="5">
        <v>125</v>
      </c>
      <c r="B127" s="5" t="s">
        <v>384</v>
      </c>
      <c r="C127" s="5" t="s">
        <v>338</v>
      </c>
      <c r="D127" s="6">
        <v>45121</v>
      </c>
      <c r="E127" s="6"/>
      <c r="F127" s="8" t="s">
        <v>141</v>
      </c>
      <c r="G127" s="8" t="s">
        <v>632</v>
      </c>
      <c r="H127" s="15">
        <f>VLOOKUP(F127,'Counting Free'!$B:$F,4,0)</f>
        <v>0</v>
      </c>
      <c r="I127" s="14">
        <f>VLOOKUP(F127,'Counting Kontrak'!B:E,4,0)</f>
        <v>0</v>
      </c>
      <c r="J127" s="5" t="str">
        <f ca="1">VLOOKUP(F127,'Data Garansi'!$E:$I,5,0)</f>
        <v>Tidak</v>
      </c>
      <c r="K127" s="6">
        <f>VLOOKUP(F127,'Tgl MC Free'!B:M,8,0)</f>
        <v>360</v>
      </c>
      <c r="L127" s="6">
        <f>VLOOKUP(F127,'Tgl Maintenance untuk Kontrak'!$D:$M,10,0)</f>
        <v>45987</v>
      </c>
    </row>
    <row r="128" spans="1:13" x14ac:dyDescent="0.3">
      <c r="A128" s="5">
        <v>126</v>
      </c>
      <c r="B128" s="5" t="s">
        <v>368</v>
      </c>
      <c r="C128" s="5" t="s">
        <v>340</v>
      </c>
      <c r="D128" s="6">
        <v>45122</v>
      </c>
      <c r="E128" s="6"/>
      <c r="F128" s="8" t="s">
        <v>145</v>
      </c>
      <c r="G128" s="8" t="s">
        <v>617</v>
      </c>
      <c r="H128" s="15">
        <f>VLOOKUP(F128,'Counting Free'!$B:$F,4,0)</f>
        <v>0</v>
      </c>
      <c r="I128" s="14">
        <f>VLOOKUP(F128,'Counting Kontrak'!B:E,4,0)</f>
        <v>0</v>
      </c>
      <c r="J128" s="5" t="str">
        <f ca="1">VLOOKUP(F128,'Data Garansi'!$E:$I,5,0)</f>
        <v>Tidak</v>
      </c>
      <c r="K128" s="6">
        <f>VLOOKUP(F128,'Tgl MC Free'!B:M,8,0)</f>
        <v>360</v>
      </c>
      <c r="L128" s="6">
        <f>VLOOKUP(F128,'Tgl Maintenance untuk Kontrak'!$D:$M,10,0)</f>
        <v>46505</v>
      </c>
    </row>
    <row r="129" spans="1:13" x14ac:dyDescent="0.3">
      <c r="A129" s="5">
        <v>127</v>
      </c>
      <c r="B129" s="5" t="s">
        <v>364</v>
      </c>
      <c r="C129" s="5" t="s">
        <v>339</v>
      </c>
      <c r="D129" s="6">
        <v>45124</v>
      </c>
      <c r="E129" s="6"/>
      <c r="F129" s="8" t="s">
        <v>142</v>
      </c>
      <c r="G129" s="8" t="s">
        <v>617</v>
      </c>
      <c r="H129" s="15">
        <f>VLOOKUP(F129,'Counting Free'!$B:$F,4,0)</f>
        <v>0</v>
      </c>
      <c r="I129" s="14">
        <f>VLOOKUP(F129,'Counting Kontrak'!B:E,4,0)</f>
        <v>0</v>
      </c>
      <c r="J129" s="5" t="str">
        <f ca="1">VLOOKUP(F129,'Data Garansi'!$E:$I,5,0)</f>
        <v>Tidak</v>
      </c>
      <c r="K129" s="6">
        <f>VLOOKUP(F129,'Tgl MC Free'!B:M,8,0)</f>
        <v>360</v>
      </c>
      <c r="L129" s="6">
        <f>VLOOKUP(F129,'Tgl Maintenance untuk Kontrak'!$D:$M,10,0)</f>
        <v>46270</v>
      </c>
    </row>
    <row r="130" spans="1:13" x14ac:dyDescent="0.3">
      <c r="A130" s="5">
        <v>128</v>
      </c>
      <c r="B130" s="5" t="s">
        <v>371</v>
      </c>
      <c r="C130" s="5" t="s">
        <v>279</v>
      </c>
      <c r="D130" s="6">
        <v>45138</v>
      </c>
      <c r="E130" s="6"/>
      <c r="F130" s="8" t="s">
        <v>77</v>
      </c>
      <c r="G130" s="8" t="s">
        <v>608</v>
      </c>
      <c r="H130" s="15">
        <f>VLOOKUP(F130,'Counting Free'!$B:$F,4,0)</f>
        <v>0</v>
      </c>
      <c r="I130" s="14">
        <f>VLOOKUP(F130,'Counting Kontrak'!B:E,4,0)</f>
        <v>0</v>
      </c>
      <c r="J130" s="5" t="str">
        <f ca="1">VLOOKUP(F130,'Data Garansi'!$E:$I,5,0)</f>
        <v>Tidak</v>
      </c>
      <c r="K130" s="6">
        <f>VLOOKUP(F130,'Tgl MC Free'!B:M,8,0)</f>
        <v>45548</v>
      </c>
      <c r="L130" s="6">
        <f>VLOOKUP(F130,'Tgl Maintenance untuk Kontrak'!$D:$M,10,0)</f>
        <v>46004</v>
      </c>
    </row>
    <row r="131" spans="1:13" x14ac:dyDescent="0.3">
      <c r="A131" s="5">
        <v>129</v>
      </c>
      <c r="B131" s="5" t="s">
        <v>374</v>
      </c>
      <c r="C131" s="5" t="s">
        <v>302</v>
      </c>
      <c r="D131" s="6">
        <v>45139</v>
      </c>
      <c r="E131" s="6"/>
      <c r="F131" s="8" t="s">
        <v>102</v>
      </c>
      <c r="G131" s="8" t="s">
        <v>608</v>
      </c>
      <c r="H131" s="15">
        <f>VLOOKUP(F131,'Counting Free'!$B:$F,4,0)</f>
        <v>0</v>
      </c>
      <c r="I131" s="14">
        <f>VLOOKUP(F131,'Counting Kontrak'!B:E,4,0)</f>
        <v>0</v>
      </c>
      <c r="J131" s="5" t="str">
        <f ca="1">VLOOKUP(F131,'Data Garansi'!$E:$I,5,0)</f>
        <v>Tidak</v>
      </c>
      <c r="K131" s="6">
        <f>VLOOKUP(F131,'Tgl MC Free'!B:M,8,0)</f>
        <v>360</v>
      </c>
      <c r="L131" s="6">
        <f>VLOOKUP(F131,'Tgl Maintenance untuk Kontrak'!$D:$M,10,0)</f>
        <v>46016</v>
      </c>
    </row>
    <row r="132" spans="1:13" x14ac:dyDescent="0.3">
      <c r="A132" s="5">
        <v>130</v>
      </c>
      <c r="B132" s="5" t="s">
        <v>371</v>
      </c>
      <c r="C132" s="5" t="s">
        <v>319</v>
      </c>
      <c r="D132" s="6">
        <v>45139</v>
      </c>
      <c r="E132" s="6"/>
      <c r="F132" s="8" t="s">
        <v>120</v>
      </c>
      <c r="G132" s="8" t="s">
        <v>617</v>
      </c>
      <c r="H132" s="15">
        <f>VLOOKUP(F132,'Counting Free'!$B:$F,4,0)</f>
        <v>0</v>
      </c>
      <c r="I132" s="14">
        <f>VLOOKUP(F132,'Counting Kontrak'!B:E,4,0)</f>
        <v>0</v>
      </c>
      <c r="J132" s="5" t="str">
        <f ca="1">VLOOKUP(F132,'Data Garansi'!$E:$I,5,0)</f>
        <v>Tidak</v>
      </c>
      <c r="K132" s="6">
        <f>VLOOKUP(F132,'Tgl MC Free'!B:M,8,0)</f>
        <v>360</v>
      </c>
      <c r="L132" s="6">
        <f>VLOOKUP(F132,'Tgl Maintenance untuk Kontrak'!$D:$M,10,0)</f>
        <v>46291</v>
      </c>
    </row>
    <row r="133" spans="1:13" x14ac:dyDescent="0.3">
      <c r="A133" s="5">
        <v>131</v>
      </c>
      <c r="B133" s="5" t="s">
        <v>365</v>
      </c>
      <c r="C133" s="5" t="s">
        <v>333</v>
      </c>
      <c r="D133" s="6">
        <v>45143</v>
      </c>
      <c r="E133" s="6"/>
      <c r="F133" s="8" t="s">
        <v>136</v>
      </c>
      <c r="G133" s="8" t="s">
        <v>611</v>
      </c>
      <c r="H133" s="15">
        <f>VLOOKUP(F133,'Counting Free'!$B:$F,4,0)</f>
        <v>0</v>
      </c>
      <c r="I133" s="14">
        <f>VLOOKUP(F133,'Counting Kontrak'!B:E,4,0)</f>
        <v>0</v>
      </c>
      <c r="J133" s="5" t="str">
        <f ca="1">VLOOKUP(F133,'Data Garansi'!$E:$I,5,0)</f>
        <v>Tidak</v>
      </c>
      <c r="K133" s="6">
        <f>VLOOKUP(F133,'Tgl MC Free'!B:M,8,0)</f>
        <v>360</v>
      </c>
      <c r="L133" s="6">
        <f>VLOOKUP(F133,'Tgl Maintenance untuk Kontrak'!$D:$M,10,0)</f>
        <v>45752</v>
      </c>
    </row>
    <row r="134" spans="1:13" x14ac:dyDescent="0.3">
      <c r="A134" s="5">
        <v>132</v>
      </c>
      <c r="B134" s="5" t="s">
        <v>368</v>
      </c>
      <c r="C134" s="5" t="s">
        <v>286</v>
      </c>
      <c r="D134" s="6">
        <v>45147</v>
      </c>
      <c r="E134" s="6" t="str">
        <f>TEXT(L134,"mmm")</f>
        <v>Sep</v>
      </c>
      <c r="F134" s="8" t="s">
        <v>87</v>
      </c>
      <c r="G134" s="8" t="s">
        <v>634</v>
      </c>
      <c r="H134" s="15">
        <f>VLOOKUP(F134,'Counting Free'!$B:$F,4,0)</f>
        <v>0</v>
      </c>
      <c r="I134" s="14">
        <f>VLOOKUP(F134,'Counting Kontrak'!B:E,4,0)</f>
        <v>0</v>
      </c>
      <c r="J134" s="5" t="str">
        <f ca="1">VLOOKUP(F134,'Data Garansi'!$E:$I,5,0)</f>
        <v>Tidak</v>
      </c>
      <c r="K134" s="6">
        <f>VLOOKUP(F134,'Tgl MC Free'!B:M,8,0)</f>
        <v>46167</v>
      </c>
      <c r="L134" s="6">
        <f>VLOOKUP(F134,'Tgl Maintenance untuk Kontrak'!$D:$M,10,0)</f>
        <v>46291</v>
      </c>
      <c r="M134" s="5" t="str">
        <f>TEXT(L134,"mmm")</f>
        <v>Sep</v>
      </c>
    </row>
    <row r="135" spans="1:13" x14ac:dyDescent="0.3">
      <c r="A135" s="5">
        <v>133</v>
      </c>
      <c r="B135" s="5" t="s">
        <v>364</v>
      </c>
      <c r="C135" s="5" t="s">
        <v>329</v>
      </c>
      <c r="D135" s="6">
        <v>45148</v>
      </c>
      <c r="E135" s="6"/>
      <c r="F135" s="8" t="s">
        <v>129</v>
      </c>
      <c r="G135" s="8" t="s">
        <v>622</v>
      </c>
      <c r="H135" s="15">
        <f>VLOOKUP(F135,'Counting Free'!$B:$F,4,0)</f>
        <v>0</v>
      </c>
      <c r="I135" s="14">
        <f>VLOOKUP(F135,'Counting Kontrak'!B:E,4,0)</f>
        <v>0</v>
      </c>
      <c r="J135" s="5" t="str">
        <f ca="1">VLOOKUP(F135,'Data Garansi'!$E:$I,5,0)</f>
        <v>Tidak</v>
      </c>
      <c r="K135" s="6">
        <f>VLOOKUP(F135,'Tgl MC Free'!B:M,8,0)</f>
        <v>360</v>
      </c>
      <c r="L135" s="6" t="e">
        <f>VLOOKUP(F135,'Tgl Maintenance untuk Kontrak'!$D:$M,10,0)</f>
        <v>#N/A</v>
      </c>
    </row>
    <row r="136" spans="1:13" x14ac:dyDescent="0.3">
      <c r="A136" s="5">
        <v>134</v>
      </c>
      <c r="B136" s="5" t="s">
        <v>368</v>
      </c>
      <c r="C136" s="5">
        <v>230230</v>
      </c>
      <c r="D136" s="6">
        <v>45150</v>
      </c>
      <c r="E136" s="6"/>
      <c r="F136" s="8" t="s">
        <v>150</v>
      </c>
      <c r="G136" s="8" t="s">
        <v>635</v>
      </c>
      <c r="H136" s="15">
        <f>VLOOKUP(F136,'Counting Free'!$B:$F,4,0)</f>
        <v>0</v>
      </c>
      <c r="I136" s="14">
        <f>VLOOKUP(F136,'Counting Kontrak'!B:E,4,0)</f>
        <v>0</v>
      </c>
      <c r="J136" s="5" t="str">
        <f ca="1">VLOOKUP(F136,'Data Garansi'!$E:$I,5,0)</f>
        <v>Tidak</v>
      </c>
      <c r="K136" s="6">
        <f>VLOOKUP(F136,'Tgl MC Free'!B:M,8,0)</f>
        <v>360</v>
      </c>
      <c r="L136" s="6">
        <f>VLOOKUP(F136,'Tgl Maintenance untuk Kontrak'!$D:$M,10,0)</f>
        <v>46109</v>
      </c>
    </row>
    <row r="137" spans="1:13" x14ac:dyDescent="0.3">
      <c r="A137" s="5">
        <v>135</v>
      </c>
      <c r="B137" s="5" t="s">
        <v>370</v>
      </c>
      <c r="C137" s="5" t="s">
        <v>293</v>
      </c>
      <c r="D137" s="6">
        <v>45158</v>
      </c>
      <c r="E137" s="6"/>
      <c r="F137" s="8" t="s">
        <v>94</v>
      </c>
      <c r="G137" s="8" t="s">
        <v>617</v>
      </c>
      <c r="H137" s="15">
        <f>VLOOKUP(F137,'Counting Free'!$B:$F,4,0)</f>
        <v>0</v>
      </c>
      <c r="I137" s="14">
        <f>VLOOKUP(F137,'Counting Kontrak'!B:E,4,0)</f>
        <v>0</v>
      </c>
      <c r="J137" s="5" t="str">
        <f ca="1">VLOOKUP(F137,'Data Garansi'!$E:$I,5,0)</f>
        <v>Tidak</v>
      </c>
      <c r="K137" s="6">
        <f>VLOOKUP(F137,'Tgl MC Free'!B:M,8,0)</f>
        <v>360</v>
      </c>
      <c r="L137" s="6">
        <f>VLOOKUP(F137,'Tgl Maintenance untuk Kontrak'!$D:$M,10,0)</f>
        <v>0</v>
      </c>
    </row>
    <row r="138" spans="1:13" x14ac:dyDescent="0.3">
      <c r="A138" s="5">
        <v>136</v>
      </c>
      <c r="B138" s="5" t="s">
        <v>371</v>
      </c>
      <c r="C138" s="5" t="s">
        <v>321</v>
      </c>
      <c r="D138" s="6">
        <v>45159</v>
      </c>
      <c r="E138" s="6"/>
      <c r="F138" s="8" t="s">
        <v>122</v>
      </c>
      <c r="G138" s="8" t="s">
        <v>610</v>
      </c>
      <c r="H138" s="15">
        <f>VLOOKUP(F138,'Counting Free'!$B:$F,4,0)</f>
        <v>0</v>
      </c>
      <c r="I138" s="14">
        <f>VLOOKUP(F138,'Counting Kontrak'!B:E,4,0)</f>
        <v>0</v>
      </c>
      <c r="J138" s="5" t="str">
        <f ca="1">VLOOKUP(F138,'Data Garansi'!$E:$I,5,0)</f>
        <v>Tidak</v>
      </c>
      <c r="K138" s="6">
        <f>VLOOKUP(F138,'Tgl MC Free'!B:M,8,0)</f>
        <v>360</v>
      </c>
      <c r="L138" s="6">
        <f>VLOOKUP(F138,'Tgl Maintenance untuk Kontrak'!$D:$M,10,0)</f>
        <v>46048</v>
      </c>
    </row>
    <row r="139" spans="1:13" x14ac:dyDescent="0.3">
      <c r="A139" s="5">
        <v>137</v>
      </c>
      <c r="B139" s="5" t="s">
        <v>383</v>
      </c>
      <c r="C139" s="5" t="s">
        <v>323</v>
      </c>
      <c r="D139" s="6">
        <v>45166</v>
      </c>
      <c r="E139" s="6"/>
      <c r="F139" s="8" t="s">
        <v>123</v>
      </c>
      <c r="G139" s="8" t="s">
        <v>410</v>
      </c>
      <c r="H139" s="15">
        <f>VLOOKUP(F139,'Counting Free'!$B:$F,4,0)</f>
        <v>0</v>
      </c>
      <c r="I139" s="14">
        <f>VLOOKUP(F139,'Counting Kontrak'!B:E,4,0)</f>
        <v>0</v>
      </c>
      <c r="J139" s="5" t="str">
        <f ca="1">VLOOKUP(F139,'Data Garansi'!$E:$I,5,0)</f>
        <v>Tidak</v>
      </c>
      <c r="K139" s="6">
        <f>VLOOKUP(F139,'Tgl MC Free'!B:M,8,0)</f>
        <v>360</v>
      </c>
      <c r="L139" s="6">
        <f>VLOOKUP(F139,'Tgl Maintenance untuk Kontrak'!$D:$M,10,0)</f>
        <v>0</v>
      </c>
    </row>
    <row r="140" spans="1:13" x14ac:dyDescent="0.3">
      <c r="A140" s="5">
        <v>138</v>
      </c>
      <c r="B140" s="5" t="s">
        <v>375</v>
      </c>
      <c r="C140" s="5" t="s">
        <v>308</v>
      </c>
      <c r="D140" s="6">
        <v>45169</v>
      </c>
      <c r="E140" s="6"/>
      <c r="F140" s="8" t="s">
        <v>108</v>
      </c>
      <c r="G140" s="8" t="s">
        <v>641</v>
      </c>
      <c r="H140" s="15">
        <f>VLOOKUP(F140,'Counting Free'!$B:$F,4,0)</f>
        <v>0</v>
      </c>
      <c r="I140" s="14">
        <f>VLOOKUP(F140,'Counting Kontrak'!B:E,4,0)</f>
        <v>0</v>
      </c>
      <c r="J140" s="5" t="str">
        <f ca="1">VLOOKUP(F140,'Data Garansi'!$E:$I,5,0)</f>
        <v>Tidak</v>
      </c>
      <c r="K140" s="6">
        <f>VLOOKUP(F140,'Tgl MC Free'!B:M,8,0)</f>
        <v>360</v>
      </c>
      <c r="L140" s="6">
        <f>VLOOKUP(F140,'Tgl Maintenance untuk Kontrak'!$D:$M,10,0)</f>
        <v>46034</v>
      </c>
    </row>
    <row r="141" spans="1:13" x14ac:dyDescent="0.3">
      <c r="A141" s="5">
        <v>139</v>
      </c>
      <c r="B141" s="5" t="s">
        <v>368</v>
      </c>
      <c r="C141" s="5" t="s">
        <v>342</v>
      </c>
      <c r="D141" s="6">
        <v>45172</v>
      </c>
      <c r="E141" s="6"/>
      <c r="F141" s="8" t="s">
        <v>154</v>
      </c>
      <c r="G141" s="8" t="s">
        <v>608</v>
      </c>
      <c r="H141" s="15">
        <f>VLOOKUP(F141,'Counting Free'!$B:$F,4,0)</f>
        <v>0</v>
      </c>
      <c r="I141" s="14">
        <f>VLOOKUP(F141,'Counting Kontrak'!B:E,4,0)</f>
        <v>0</v>
      </c>
      <c r="J141" s="5" t="str">
        <f ca="1">VLOOKUP(F141,'Data Garansi'!$E:$I,5,0)</f>
        <v>Tidak</v>
      </c>
      <c r="K141" s="6">
        <f>VLOOKUP(F141,'Tgl MC Free'!B:M,8,0)</f>
        <v>360</v>
      </c>
      <c r="L141" s="6" t="e">
        <f>VLOOKUP(F141,'Tgl Maintenance untuk Kontrak'!$D:$M,10,0)</f>
        <v>#N/A</v>
      </c>
    </row>
    <row r="142" spans="1:13" x14ac:dyDescent="0.3">
      <c r="A142" s="5">
        <v>140</v>
      </c>
      <c r="B142" s="5" t="s">
        <v>364</v>
      </c>
      <c r="C142" s="5" t="s">
        <v>330</v>
      </c>
      <c r="D142" s="6">
        <v>45175</v>
      </c>
      <c r="E142" s="6"/>
      <c r="F142" s="8" t="s">
        <v>131</v>
      </c>
      <c r="G142" s="8" t="s">
        <v>625</v>
      </c>
      <c r="H142" s="15">
        <f>VLOOKUP(F142,'Counting Free'!$B:$F,4,0)</f>
        <v>0</v>
      </c>
      <c r="I142" s="14">
        <f>VLOOKUP(F142,'Counting Kontrak'!B:E,4,0)</f>
        <v>0</v>
      </c>
      <c r="J142" s="5" t="str">
        <f ca="1">VLOOKUP(F142,'Data Garansi'!$E:$I,5,0)</f>
        <v>Tidak</v>
      </c>
      <c r="K142" s="6">
        <f>VLOOKUP(F142,'Tgl MC Free'!B:M,8,0)</f>
        <v>360</v>
      </c>
      <c r="L142" s="6">
        <f>VLOOKUP(F142,'Tgl Maintenance untuk Kontrak'!$D:$M,10,0)</f>
        <v>46305</v>
      </c>
    </row>
    <row r="143" spans="1:13" x14ac:dyDescent="0.3">
      <c r="A143" s="5">
        <v>141</v>
      </c>
      <c r="B143" s="5" t="s">
        <v>368</v>
      </c>
      <c r="C143" s="5">
        <v>230125</v>
      </c>
      <c r="D143" s="6">
        <v>45181</v>
      </c>
      <c r="E143" s="6"/>
      <c r="F143" s="8" t="s">
        <v>143</v>
      </c>
      <c r="G143" s="8" t="s">
        <v>642</v>
      </c>
      <c r="H143" s="15">
        <f>VLOOKUP(F143,'Counting Free'!$B:$F,4,0)</f>
        <v>0</v>
      </c>
      <c r="I143" s="14">
        <f>VLOOKUP(F143,'Counting Kontrak'!B:E,4,0)</f>
        <v>0</v>
      </c>
      <c r="J143" s="5" t="str">
        <f ca="1">VLOOKUP(F143,'Data Garansi'!$E:$I,5,0)</f>
        <v>Tidak</v>
      </c>
      <c r="K143" s="6">
        <f>VLOOKUP(F143,'Tgl MC Free'!B:M,8,0)</f>
        <v>360</v>
      </c>
      <c r="L143" s="6">
        <f>VLOOKUP(F143,'Tgl Maintenance untuk Kontrak'!$D:$M,10,0)</f>
        <v>0</v>
      </c>
    </row>
    <row r="144" spans="1:13" x14ac:dyDescent="0.3">
      <c r="A144" s="5">
        <v>142</v>
      </c>
      <c r="B144" s="5" t="s">
        <v>363</v>
      </c>
      <c r="C144" s="5" t="s">
        <v>297</v>
      </c>
      <c r="D144" s="6">
        <v>45191</v>
      </c>
      <c r="E144" s="6"/>
      <c r="F144" s="8" t="s">
        <v>97</v>
      </c>
      <c r="G144" s="8" t="s">
        <v>610</v>
      </c>
      <c r="H144" s="15">
        <f>VLOOKUP(F144,'Counting Free'!$B:$F,4,0)</f>
        <v>0</v>
      </c>
      <c r="I144" s="14">
        <f>VLOOKUP(F144,'Counting Kontrak'!B:E,4,0)</f>
        <v>0</v>
      </c>
      <c r="J144" s="5" t="str">
        <f ca="1">VLOOKUP(F144,'Data Garansi'!$E:$I,5,0)</f>
        <v>Tidak</v>
      </c>
      <c r="K144" s="6">
        <f>VLOOKUP(F144,'Tgl MC Free'!B:M,8,0)</f>
        <v>360</v>
      </c>
      <c r="L144" s="6">
        <f>VLOOKUP(F144,'Tgl Maintenance untuk Kontrak'!$D:$M,10,0)</f>
        <v>45961</v>
      </c>
    </row>
    <row r="145" spans="1:13" x14ac:dyDescent="0.3">
      <c r="A145" s="5">
        <v>143</v>
      </c>
      <c r="B145" s="5" t="s">
        <v>383</v>
      </c>
      <c r="C145" s="5" t="s">
        <v>322</v>
      </c>
      <c r="D145" s="6">
        <v>45200</v>
      </c>
      <c r="E145" s="6"/>
      <c r="F145" s="8" t="s">
        <v>123</v>
      </c>
      <c r="G145" s="8" t="s">
        <v>410</v>
      </c>
      <c r="H145" s="15">
        <f>VLOOKUP(F145,'Counting Free'!$B:$F,4,0)</f>
        <v>0</v>
      </c>
      <c r="I145" s="14">
        <f>VLOOKUP(F145,'Counting Kontrak'!B:E,4,0)</f>
        <v>0</v>
      </c>
      <c r="J145" s="5" t="str">
        <f ca="1">VLOOKUP(F145,'Data Garansi'!$E:$I,5,0)</f>
        <v>Tidak</v>
      </c>
      <c r="K145" s="6">
        <f>VLOOKUP(F145,'Tgl MC Free'!B:M,8,0)</f>
        <v>360</v>
      </c>
      <c r="L145" s="6">
        <f>VLOOKUP(F145,'Tgl Maintenance untuk Kontrak'!$D:$M,10,0)</f>
        <v>0</v>
      </c>
    </row>
    <row r="146" spans="1:13" x14ac:dyDescent="0.3">
      <c r="A146" s="5">
        <v>144</v>
      </c>
      <c r="B146" s="5" t="s">
        <v>361</v>
      </c>
      <c r="C146" s="5" t="s">
        <v>207</v>
      </c>
      <c r="D146" s="6">
        <v>45204</v>
      </c>
      <c r="E146" s="6"/>
      <c r="F146" s="8" t="s">
        <v>166</v>
      </c>
      <c r="G146" s="8" t="s">
        <v>610</v>
      </c>
      <c r="H146" s="15">
        <f>VLOOKUP(F146,'Counting Free'!$B:$F,4,0)</f>
        <v>0</v>
      </c>
      <c r="I146" s="14">
        <f>VLOOKUP(F146,'Counting Kontrak'!B:E,4,0)</f>
        <v>0</v>
      </c>
      <c r="J146" s="5" t="str">
        <f ca="1">VLOOKUP(F146,'Data Garansi'!$E:$I,5,0)</f>
        <v>Tidak</v>
      </c>
      <c r="K146" s="6">
        <f>VLOOKUP(F146,'Tgl MC Free'!B:M,8,0)</f>
        <v>360</v>
      </c>
      <c r="L146" s="6">
        <f>VLOOKUP(F146,'Tgl Maintenance untuk Kontrak'!$D:$M,10,0)</f>
        <v>46041</v>
      </c>
    </row>
    <row r="147" spans="1:13" x14ac:dyDescent="0.3">
      <c r="A147" s="5">
        <v>145</v>
      </c>
      <c r="B147" s="5" t="s">
        <v>368</v>
      </c>
      <c r="C147" s="5" t="s">
        <v>267</v>
      </c>
      <c r="D147" s="6">
        <v>45210</v>
      </c>
      <c r="E147" s="6"/>
      <c r="F147" s="8" t="s">
        <v>427</v>
      </c>
      <c r="G147" s="8" t="s">
        <v>635</v>
      </c>
      <c r="H147" s="15">
        <f>VLOOKUP(F147,'Counting Free'!$B:$F,4,0)</f>
        <v>0</v>
      </c>
      <c r="I147" s="14">
        <f>VLOOKUP(F147,'Counting Kontrak'!B:E,4,0)</f>
        <v>0</v>
      </c>
      <c r="J147" s="5" t="str">
        <f ca="1">VLOOKUP(F147,'Data Garansi'!$E:$I,5,0)</f>
        <v>Tidak</v>
      </c>
      <c r="K147" s="6">
        <f>VLOOKUP(F147,'Tgl MC Free'!B:M,8,0)</f>
        <v>360</v>
      </c>
      <c r="L147" s="6">
        <f>VLOOKUP(F147,'Tgl Maintenance untuk Kontrak'!$D:$M,10,0)</f>
        <v>46050</v>
      </c>
    </row>
    <row r="148" spans="1:13" x14ac:dyDescent="0.3">
      <c r="A148" s="5">
        <v>146</v>
      </c>
      <c r="B148" s="5" t="s">
        <v>341</v>
      </c>
      <c r="C148" s="5" t="s">
        <v>345</v>
      </c>
      <c r="D148" s="6">
        <v>45212</v>
      </c>
      <c r="E148" s="6" t="str">
        <f>TEXT(L148,"mmm")</f>
        <v>May</v>
      </c>
      <c r="F148" s="8" t="s">
        <v>172</v>
      </c>
      <c r="G148" s="8" t="s">
        <v>638</v>
      </c>
      <c r="H148" s="15">
        <f>VLOOKUP(F148,'Counting Free'!$B:$F,4,0)</f>
        <v>0</v>
      </c>
      <c r="I148" s="14">
        <f>VLOOKUP(F148,'Counting Kontrak'!B:E,4,0)</f>
        <v>0</v>
      </c>
      <c r="J148" s="5" t="str">
        <f ca="1">VLOOKUP(F148,'Data Garansi'!$E:$I,5,0)</f>
        <v>Tidak</v>
      </c>
      <c r="K148" s="6">
        <f>VLOOKUP(F148,'Tgl MC Free'!B:M,8,0)</f>
        <v>360</v>
      </c>
      <c r="L148" s="6">
        <f>VLOOKUP(F148,'Tgl Maintenance untuk Kontrak'!$D:$M,10,0)</f>
        <v>45798</v>
      </c>
      <c r="M148" s="5" t="str">
        <f>TEXT(L148,"mmm")</f>
        <v>May</v>
      </c>
    </row>
    <row r="149" spans="1:13" x14ac:dyDescent="0.3">
      <c r="A149" s="5">
        <v>147</v>
      </c>
      <c r="B149" s="5" t="s">
        <v>341</v>
      </c>
      <c r="C149" s="5" t="s">
        <v>347</v>
      </c>
      <c r="D149" s="6">
        <v>45213</v>
      </c>
      <c r="E149" s="6"/>
      <c r="F149" s="8" t="s">
        <v>177</v>
      </c>
      <c r="G149" s="8" t="s">
        <v>643</v>
      </c>
      <c r="H149" s="15">
        <f>VLOOKUP(F149,'Counting Free'!$B:$F,4,0)</f>
        <v>0</v>
      </c>
      <c r="I149" s="14">
        <f>VLOOKUP(F149,'Counting Kontrak'!B:E,4,0)</f>
        <v>0</v>
      </c>
      <c r="J149" s="5" t="str">
        <f ca="1">VLOOKUP(F149,'Data Garansi'!$E:$I,5,0)</f>
        <v>Tidak</v>
      </c>
      <c r="K149" s="6">
        <f>VLOOKUP(F149,'Tgl MC Free'!B:M,8,0)</f>
        <v>360</v>
      </c>
      <c r="L149" s="6">
        <f>VLOOKUP(F149,'Tgl Maintenance untuk Kontrak'!$D:$M,10,0)</f>
        <v>46219</v>
      </c>
    </row>
    <row r="150" spans="1:13" x14ac:dyDescent="0.3">
      <c r="A150" s="5">
        <v>148</v>
      </c>
      <c r="B150" s="5" t="s">
        <v>368</v>
      </c>
      <c r="C150" s="5" t="s">
        <v>343</v>
      </c>
      <c r="D150" s="6">
        <v>45217</v>
      </c>
      <c r="E150" s="6"/>
      <c r="F150" s="8" t="s">
        <v>160</v>
      </c>
      <c r="G150" s="8" t="s">
        <v>644</v>
      </c>
      <c r="H150" s="15">
        <f>VLOOKUP(F150,'Counting Free'!$B:$F,4,0)</f>
        <v>0</v>
      </c>
      <c r="I150" s="14">
        <f>VLOOKUP(F150,'Counting Kontrak'!B:E,4,0)</f>
        <v>0</v>
      </c>
      <c r="J150" s="5" t="str">
        <f ca="1">VLOOKUP(F150,'Data Garansi'!$E:$I,5,0)</f>
        <v>Tidak</v>
      </c>
      <c r="K150" s="6">
        <f>VLOOKUP(F150,'Tgl MC Free'!B:M,8,0)</f>
        <v>360</v>
      </c>
      <c r="L150" s="6">
        <f>VLOOKUP(F150,'Tgl Maintenance untuk Kontrak'!$D:$M,10,0)</f>
        <v>45953</v>
      </c>
    </row>
    <row r="151" spans="1:13" x14ac:dyDescent="0.3">
      <c r="A151" s="5">
        <v>149</v>
      </c>
      <c r="B151" s="5" t="s">
        <v>361</v>
      </c>
      <c r="C151" s="5" t="s">
        <v>207</v>
      </c>
      <c r="D151" s="6">
        <v>45223</v>
      </c>
      <c r="E151" s="6"/>
      <c r="F151" s="8" t="s">
        <v>159</v>
      </c>
      <c r="G151" s="8" t="s">
        <v>622</v>
      </c>
      <c r="H151" s="15">
        <f>VLOOKUP(F151,'Counting Free'!$B:$F,4,0)</f>
        <v>0</v>
      </c>
      <c r="I151" s="14">
        <f>VLOOKUP(F151,'Counting Kontrak'!B:E,4,0)</f>
        <v>0</v>
      </c>
      <c r="J151" s="5" t="str">
        <f ca="1">VLOOKUP(F151,'Data Garansi'!$E:$I,5,0)</f>
        <v>Tidak</v>
      </c>
      <c r="K151" s="6">
        <f>VLOOKUP(F151,'Tgl MC Free'!B:M,8,0)</f>
        <v>360</v>
      </c>
      <c r="L151" s="6">
        <f>VLOOKUP(F151,'Tgl Maintenance untuk Kontrak'!$D:$M,10,0)</f>
        <v>46027</v>
      </c>
    </row>
    <row r="152" spans="1:13" x14ac:dyDescent="0.3">
      <c r="A152" s="5">
        <v>150</v>
      </c>
      <c r="B152" s="5" t="s">
        <v>341</v>
      </c>
      <c r="C152" s="5" t="s">
        <v>345</v>
      </c>
      <c r="D152" s="6">
        <v>45228</v>
      </c>
      <c r="E152" s="6"/>
      <c r="F152" s="8" t="s">
        <v>179</v>
      </c>
      <c r="G152" s="8" t="s">
        <v>627</v>
      </c>
      <c r="H152" s="15">
        <f>VLOOKUP(F152,'Counting Free'!$B:$F,4,0)</f>
        <v>0</v>
      </c>
      <c r="I152" s="14">
        <f>VLOOKUP(F152,'Counting Kontrak'!B:E,4,0)</f>
        <v>0</v>
      </c>
      <c r="J152" s="5" t="str">
        <f ca="1">VLOOKUP(F152,'Data Garansi'!$E:$I,5,0)</f>
        <v>Tidak</v>
      </c>
      <c r="K152" s="6">
        <f>VLOOKUP(F152,'Tgl MC Free'!B:M,8,0)</f>
        <v>360</v>
      </c>
      <c r="L152" s="6">
        <f>VLOOKUP(F152,'Tgl Maintenance untuk Kontrak'!$D:$M,10,0)</f>
        <v>0</v>
      </c>
    </row>
    <row r="153" spans="1:13" x14ac:dyDescent="0.3">
      <c r="A153" s="5">
        <v>151</v>
      </c>
      <c r="B153" s="5" t="s">
        <v>361</v>
      </c>
      <c r="C153" s="5" t="s">
        <v>207</v>
      </c>
      <c r="D153" s="6">
        <v>45229</v>
      </c>
      <c r="E153" s="6"/>
      <c r="F153" s="8" t="s">
        <v>162</v>
      </c>
      <c r="G153" s="8" t="s">
        <v>610</v>
      </c>
      <c r="H153" s="15">
        <f>VLOOKUP(F153,'Counting Free'!$B:$F,4,0)</f>
        <v>0</v>
      </c>
      <c r="I153" s="14">
        <f>VLOOKUP(F153,'Counting Kontrak'!B:E,4,0)</f>
        <v>0</v>
      </c>
      <c r="J153" s="5" t="str">
        <f ca="1">VLOOKUP(F153,'Data Garansi'!$E:$I,5,0)</f>
        <v>Tidak</v>
      </c>
      <c r="K153" s="6">
        <f>VLOOKUP(F153,'Tgl MC Free'!B:M,8,0)</f>
        <v>360</v>
      </c>
      <c r="L153" s="6">
        <f>VLOOKUP(F153,'Tgl Maintenance untuk Kontrak'!$D:$M,10,0)</f>
        <v>45945</v>
      </c>
    </row>
    <row r="154" spans="1:13" x14ac:dyDescent="0.3">
      <c r="A154" s="5">
        <v>152</v>
      </c>
      <c r="B154" s="5" t="s">
        <v>368</v>
      </c>
      <c r="C154" s="5">
        <v>230409</v>
      </c>
      <c r="D154" s="6">
        <v>45231</v>
      </c>
      <c r="E154" s="6"/>
      <c r="F154" s="8" t="s">
        <v>147</v>
      </c>
      <c r="G154" s="8" t="s">
        <v>645</v>
      </c>
      <c r="H154" s="15">
        <f>VLOOKUP(F154,'Counting Free'!$B:$F,4,0)</f>
        <v>0</v>
      </c>
      <c r="I154" s="14">
        <f>VLOOKUP(F154,'Counting Kontrak'!B:E,4,0)</f>
        <v>0</v>
      </c>
      <c r="J154" s="5" t="str">
        <f ca="1">VLOOKUP(F154,'Data Garansi'!$E:$I,5,0)</f>
        <v>Tidak</v>
      </c>
      <c r="K154" s="6">
        <f>VLOOKUP(F154,'Tgl MC Free'!B:M,8,0)</f>
        <v>360</v>
      </c>
      <c r="L154" s="6">
        <f>VLOOKUP(F154,'Tgl Maintenance untuk Kontrak'!$D:$M,10,0)</f>
        <v>0</v>
      </c>
    </row>
    <row r="155" spans="1:13" x14ac:dyDescent="0.3">
      <c r="A155" s="5">
        <v>153</v>
      </c>
      <c r="B155" s="5" t="s">
        <v>364</v>
      </c>
      <c r="C155" s="5" t="s">
        <v>254</v>
      </c>
      <c r="D155" s="6">
        <v>45234</v>
      </c>
      <c r="E155" s="6" t="str">
        <f>TEXT(L155,"mmm")</f>
        <v>Dec</v>
      </c>
      <c r="F155" s="8" t="s">
        <v>51</v>
      </c>
      <c r="G155" s="8" t="s">
        <v>608</v>
      </c>
      <c r="H155" s="15">
        <f>VLOOKUP(F155,'Counting Free'!$B:$F,4,0)</f>
        <v>0</v>
      </c>
      <c r="I155" s="14">
        <f>VLOOKUP(F155,'Counting Kontrak'!B:E,4,0)</f>
        <v>0</v>
      </c>
      <c r="J155" s="5" t="str">
        <f ca="1">VLOOKUP(F155,'Data Garansi'!$E:$I,5,0)</f>
        <v>Tidak</v>
      </c>
      <c r="K155" s="6">
        <f>VLOOKUP(F155,'Tgl MC Free'!B:M,8,0)</f>
        <v>46180</v>
      </c>
      <c r="L155" s="6">
        <f>VLOOKUP(F155,'Tgl Maintenance untuk Kontrak'!$D:$M,10,0)</f>
        <v>46000</v>
      </c>
      <c r="M155" s="5" t="str">
        <f>TEXT(L155,"mmm")</f>
        <v>Dec</v>
      </c>
    </row>
    <row r="156" spans="1:13" x14ac:dyDescent="0.3">
      <c r="A156" s="5">
        <v>154</v>
      </c>
      <c r="B156" s="5" t="s">
        <v>368</v>
      </c>
      <c r="C156" s="5">
        <v>230303</v>
      </c>
      <c r="D156" s="6">
        <v>45235</v>
      </c>
      <c r="E156" s="6"/>
      <c r="F156" s="8" t="s">
        <v>151</v>
      </c>
      <c r="G156" s="8" t="s">
        <v>610</v>
      </c>
      <c r="H156" s="15">
        <f>VLOOKUP(F156,'Counting Free'!$B:$F,4,0)</f>
        <v>0</v>
      </c>
      <c r="I156" s="14">
        <f>VLOOKUP(F156,'Counting Kontrak'!B:E,4,0)</f>
        <v>0</v>
      </c>
      <c r="J156" s="5" t="str">
        <f ca="1">VLOOKUP(F156,'Data Garansi'!$E:$I,5,0)</f>
        <v>Tidak</v>
      </c>
      <c r="K156" s="6">
        <f>VLOOKUP(F156,'Tgl MC Free'!B:M,8,0)</f>
        <v>360</v>
      </c>
      <c r="L156" s="6">
        <f>VLOOKUP(F156,'Tgl Maintenance untuk Kontrak'!$D:$M,10,0)</f>
        <v>0</v>
      </c>
    </row>
    <row r="157" spans="1:13" x14ac:dyDescent="0.3">
      <c r="A157" s="5">
        <v>155</v>
      </c>
      <c r="B157" s="5" t="s">
        <v>363</v>
      </c>
      <c r="C157" s="5" t="s">
        <v>245</v>
      </c>
      <c r="D157" s="6">
        <v>45241</v>
      </c>
      <c r="E157" s="6"/>
      <c r="F157" s="8" t="s">
        <v>42</v>
      </c>
      <c r="G157" s="8" t="s">
        <v>610</v>
      </c>
      <c r="H157" s="15">
        <f>VLOOKUP(F157,'Counting Free'!$B:$F,4,0)</f>
        <v>0</v>
      </c>
      <c r="I157" s="14">
        <f>VLOOKUP(F157,'Counting Kontrak'!B:E,4,0)</f>
        <v>0</v>
      </c>
      <c r="J157" s="5" t="str">
        <f ca="1">VLOOKUP(F157,'Data Garansi'!$E:$I,5,0)</f>
        <v>Tidak</v>
      </c>
      <c r="K157" s="6">
        <f>VLOOKUP(F157,'Tgl MC Free'!B:M,8,0)</f>
        <v>360</v>
      </c>
      <c r="L157" s="6">
        <f>VLOOKUP(F157,'Tgl Maintenance untuk Kontrak'!$D:$M,10,0)</f>
        <v>46111</v>
      </c>
    </row>
    <row r="158" spans="1:13" x14ac:dyDescent="0.3">
      <c r="A158" s="5">
        <v>156</v>
      </c>
      <c r="B158" s="5" t="s">
        <v>368</v>
      </c>
      <c r="C158" s="5">
        <v>230342</v>
      </c>
      <c r="D158" s="6">
        <v>45241</v>
      </c>
      <c r="E158" s="6"/>
      <c r="F158" s="8" t="s">
        <v>155</v>
      </c>
      <c r="G158" s="8" t="s">
        <v>617</v>
      </c>
      <c r="H158" s="15">
        <f>VLOOKUP(F158,'Counting Free'!$B:$F,4,0)</f>
        <v>0</v>
      </c>
      <c r="I158" s="14">
        <f>VLOOKUP(F158,'Counting Kontrak'!B:E,4,0)</f>
        <v>0</v>
      </c>
      <c r="J158" s="5" t="str">
        <f ca="1">VLOOKUP(F158,'Data Garansi'!$E:$I,5,0)</f>
        <v>Tidak</v>
      </c>
      <c r="K158" s="6">
        <f>VLOOKUP(F158,'Tgl MC Free'!B:M,8,0)</f>
        <v>360</v>
      </c>
      <c r="L158" s="6">
        <f>VLOOKUP(F158,'Tgl Maintenance untuk Kontrak'!$D:$M,10,0)</f>
        <v>46194</v>
      </c>
    </row>
    <row r="159" spans="1:13" x14ac:dyDescent="0.3">
      <c r="A159" s="5">
        <v>157</v>
      </c>
      <c r="B159" s="5" t="s">
        <v>364</v>
      </c>
      <c r="C159" s="5">
        <v>230483</v>
      </c>
      <c r="D159" s="6">
        <v>45245</v>
      </c>
      <c r="E159" s="6"/>
      <c r="F159" s="8" t="s">
        <v>161</v>
      </c>
      <c r="G159" s="8" t="s">
        <v>628</v>
      </c>
      <c r="H159" s="15">
        <f>VLOOKUP(F159,'Counting Free'!$B:$F,4,0)</f>
        <v>0</v>
      </c>
      <c r="I159" s="14">
        <f>VLOOKUP(F159,'Counting Kontrak'!B:E,4,0)</f>
        <v>0</v>
      </c>
      <c r="J159" s="5" t="str">
        <f ca="1">VLOOKUP(F159,'Data Garansi'!$E:$I,5,0)</f>
        <v>Tidak</v>
      </c>
      <c r="K159" s="6">
        <f>VLOOKUP(F159,'Tgl MC Free'!B:M,8,0)</f>
        <v>360</v>
      </c>
      <c r="L159" s="6">
        <f>VLOOKUP(F159,'Tgl Maintenance untuk Kontrak'!$D:$M,10,0)</f>
        <v>0</v>
      </c>
    </row>
    <row r="160" spans="1:13" x14ac:dyDescent="0.3">
      <c r="A160" s="5">
        <v>158</v>
      </c>
      <c r="B160" s="5" t="s">
        <v>363</v>
      </c>
      <c r="C160" s="5">
        <v>230484</v>
      </c>
      <c r="D160" s="6">
        <v>45245</v>
      </c>
      <c r="E160" s="6"/>
      <c r="F160" s="8" t="s">
        <v>161</v>
      </c>
      <c r="G160" s="8" t="s">
        <v>628</v>
      </c>
      <c r="H160" s="15">
        <f>VLOOKUP(F160,'Counting Free'!$B:$F,4,0)</f>
        <v>0</v>
      </c>
      <c r="I160" s="14">
        <f>VLOOKUP(F160,'Counting Kontrak'!B:E,4,0)</f>
        <v>0</v>
      </c>
      <c r="J160" s="5" t="str">
        <f ca="1">VLOOKUP(F160,'Data Garansi'!$E:$I,5,0)</f>
        <v>Tidak</v>
      </c>
      <c r="K160" s="6">
        <f>VLOOKUP(F160,'Tgl MC Free'!B:M,8,0)</f>
        <v>360</v>
      </c>
      <c r="L160" s="6">
        <f>VLOOKUP(F160,'Tgl Maintenance untuk Kontrak'!$D:$M,10,0)</f>
        <v>0</v>
      </c>
    </row>
    <row r="161" spans="1:13" x14ac:dyDescent="0.3">
      <c r="A161" s="5">
        <v>159</v>
      </c>
      <c r="B161" s="5" t="s">
        <v>368</v>
      </c>
      <c r="C161" s="5">
        <v>230052</v>
      </c>
      <c r="D161" s="6">
        <v>45248</v>
      </c>
      <c r="E161" s="6" t="str">
        <f>TEXT(L161,"mmm")</f>
        <v>Jan</v>
      </c>
      <c r="F161" s="8" t="s">
        <v>79</v>
      </c>
      <c r="G161" s="8" t="s">
        <v>608</v>
      </c>
      <c r="H161" s="15">
        <f>VLOOKUP(F161,'Counting Free'!$B:$F,4,0)</f>
        <v>0</v>
      </c>
      <c r="I161" s="14">
        <f>VLOOKUP(F161,'Counting Kontrak'!B:E,4,0)</f>
        <v>0</v>
      </c>
      <c r="J161" s="5" t="str">
        <f ca="1">VLOOKUP(F161,'Data Garansi'!$E:$I,5,0)</f>
        <v>Tidak</v>
      </c>
      <c r="K161" s="6">
        <f>VLOOKUP(F161,'Tgl MC Free'!B:M,8,0)</f>
        <v>46098</v>
      </c>
      <c r="L161" s="6">
        <f>VLOOKUP(F161,'Tgl Maintenance untuk Kontrak'!$D:$M,10,0)</f>
        <v>46048</v>
      </c>
      <c r="M161" s="5" t="str">
        <f>TEXT(L161,"mmm")</f>
        <v>Jan</v>
      </c>
    </row>
    <row r="162" spans="1:13" x14ac:dyDescent="0.3">
      <c r="A162" s="5">
        <v>160</v>
      </c>
      <c r="B162" s="5" t="s">
        <v>368</v>
      </c>
      <c r="C162" s="5" t="s">
        <v>326</v>
      </c>
      <c r="D162" s="6">
        <v>45251</v>
      </c>
      <c r="E162" s="6"/>
      <c r="F162" s="8" t="s">
        <v>126</v>
      </c>
      <c r="G162" s="8" t="s">
        <v>646</v>
      </c>
      <c r="H162" s="15">
        <f>VLOOKUP(F162,'Counting Free'!$B:$F,4,0)</f>
        <v>0</v>
      </c>
      <c r="I162" s="14">
        <f>VLOOKUP(F162,'Counting Kontrak'!B:E,4,0)</f>
        <v>0</v>
      </c>
      <c r="J162" s="5" t="str">
        <f ca="1">VLOOKUP(F162,'Data Garansi'!$E:$I,5,0)</f>
        <v>Tidak</v>
      </c>
      <c r="K162" s="6">
        <f>VLOOKUP(F162,'Tgl MC Free'!B:M,8,0)</f>
        <v>360</v>
      </c>
      <c r="L162" s="6">
        <f>VLOOKUP(F162,'Tgl Maintenance untuk Kontrak'!$D:$M,10,0)</f>
        <v>46273</v>
      </c>
    </row>
    <row r="163" spans="1:13" x14ac:dyDescent="0.3">
      <c r="A163" s="5">
        <v>161</v>
      </c>
      <c r="B163" s="5" t="s">
        <v>341</v>
      </c>
      <c r="C163" s="5" t="s">
        <v>348</v>
      </c>
      <c r="D163" s="6">
        <v>45259</v>
      </c>
      <c r="E163" s="6"/>
      <c r="F163" s="8" t="s">
        <v>180</v>
      </c>
      <c r="G163" s="8" t="s">
        <v>620</v>
      </c>
      <c r="H163" s="15">
        <f>VLOOKUP(F163,'Counting Free'!$B:$F,4,0)</f>
        <v>0</v>
      </c>
      <c r="I163" s="14">
        <f>VLOOKUP(F163,'Counting Kontrak'!B:E,4,0)</f>
        <v>0</v>
      </c>
      <c r="J163" s="5" t="str">
        <f ca="1">VLOOKUP(F163,'Data Garansi'!$E:$I,5,0)</f>
        <v>Tidak</v>
      </c>
      <c r="K163" s="6">
        <f>VLOOKUP(F163,'Tgl MC Free'!B:M,8,0)</f>
        <v>360</v>
      </c>
      <c r="L163" s="6">
        <f>VLOOKUP(F163,'Tgl Maintenance untuk Kontrak'!$D:$M,10,0)</f>
        <v>46145</v>
      </c>
    </row>
    <row r="164" spans="1:13" x14ac:dyDescent="0.3">
      <c r="A164" s="5">
        <v>162</v>
      </c>
      <c r="B164" s="5" t="s">
        <v>367</v>
      </c>
      <c r="C164" s="5" t="s">
        <v>280</v>
      </c>
      <c r="D164" s="6">
        <v>45270</v>
      </c>
      <c r="E164" s="6"/>
      <c r="F164" s="8" t="s">
        <v>78</v>
      </c>
      <c r="G164" s="8" t="s">
        <v>615</v>
      </c>
      <c r="H164" s="15">
        <f>VLOOKUP(F164,'Counting Free'!$B:$F,4,0)</f>
        <v>0</v>
      </c>
      <c r="I164" s="14">
        <f>VLOOKUP(F164,'Counting Kontrak'!B:E,4,0)</f>
        <v>0</v>
      </c>
      <c r="J164" s="5" t="str">
        <f ca="1">VLOOKUP(F164,'Data Garansi'!$E:$I,5,0)</f>
        <v>Tidak</v>
      </c>
      <c r="K164" s="6">
        <f>VLOOKUP(F164,'Tgl MC Free'!B:M,8,0)</f>
        <v>360</v>
      </c>
      <c r="L164" s="6">
        <f>VLOOKUP(F164,'Tgl Maintenance untuk Kontrak'!$D:$M,10,0)</f>
        <v>46027</v>
      </c>
    </row>
    <row r="165" spans="1:13" x14ac:dyDescent="0.3">
      <c r="A165" s="5">
        <v>163</v>
      </c>
      <c r="B165" s="5" t="s">
        <v>368</v>
      </c>
      <c r="C165" s="5">
        <v>230340</v>
      </c>
      <c r="D165" s="6">
        <v>45272</v>
      </c>
      <c r="E165" s="6"/>
      <c r="F165" s="8" t="s">
        <v>156</v>
      </c>
      <c r="G165" s="8" t="s">
        <v>623</v>
      </c>
      <c r="H165" s="15">
        <f>VLOOKUP(F165,'Counting Free'!$B:$F,4,0)</f>
        <v>0</v>
      </c>
      <c r="I165" s="14">
        <f>VLOOKUP(F165,'Counting Kontrak'!B:E,4,0)</f>
        <v>0</v>
      </c>
      <c r="J165" s="5" t="str">
        <f ca="1">VLOOKUP(F165,'Data Garansi'!$E:$I,5,0)</f>
        <v>Tidak</v>
      </c>
      <c r="K165" s="6">
        <f>VLOOKUP(F165,'Tgl MC Free'!B:M,8,0)</f>
        <v>360</v>
      </c>
      <c r="L165" s="6">
        <f>VLOOKUP(F165,'Tgl Maintenance untuk Kontrak'!$D:$M,10,0)</f>
        <v>0</v>
      </c>
    </row>
    <row r="166" spans="1:13" x14ac:dyDescent="0.3">
      <c r="A166" s="5">
        <v>164</v>
      </c>
      <c r="B166" s="5" t="s">
        <v>368</v>
      </c>
      <c r="C166" s="5">
        <v>230339</v>
      </c>
      <c r="D166" s="6">
        <v>45272</v>
      </c>
      <c r="E166" s="6"/>
      <c r="F166" s="8" t="s">
        <v>157</v>
      </c>
      <c r="G166" s="8" t="s">
        <v>623</v>
      </c>
      <c r="H166" s="15">
        <f>VLOOKUP(F166,'Counting Free'!$B:$F,4,0)</f>
        <v>0</v>
      </c>
      <c r="I166" s="14">
        <f>VLOOKUP(F166,'Counting Kontrak'!B:E,4,0)</f>
        <v>0</v>
      </c>
      <c r="J166" s="5" t="str">
        <f ca="1">VLOOKUP(F166,'Data Garansi'!$E:$I,5,0)</f>
        <v>Tidak</v>
      </c>
      <c r="K166" s="6">
        <f>VLOOKUP(F166,'Tgl MC Free'!B:M,8,0)</f>
        <v>360</v>
      </c>
      <c r="L166" s="6">
        <f>VLOOKUP(F166,'Tgl Maintenance untuk Kontrak'!$D:$M,10,0)</f>
        <v>0</v>
      </c>
    </row>
    <row r="167" spans="1:13" x14ac:dyDescent="0.3">
      <c r="A167" s="5">
        <v>165</v>
      </c>
      <c r="B167" s="5" t="s">
        <v>368</v>
      </c>
      <c r="C167" s="5" t="s">
        <v>344</v>
      </c>
      <c r="D167" s="6">
        <v>45272</v>
      </c>
      <c r="E167" s="6"/>
      <c r="F167" s="8" t="s">
        <v>163</v>
      </c>
      <c r="G167" s="8" t="s">
        <v>610</v>
      </c>
      <c r="H167" s="15">
        <f>VLOOKUP(F167,'Counting Free'!$B:$F,4,0)</f>
        <v>0</v>
      </c>
      <c r="I167" s="14">
        <f>VLOOKUP(F167,'Counting Kontrak'!B:E,4,0)</f>
        <v>0</v>
      </c>
      <c r="J167" s="5" t="str">
        <f ca="1">VLOOKUP(F167,'Data Garansi'!$E:$I,5,0)</f>
        <v>Tidak</v>
      </c>
      <c r="K167" s="6">
        <f>VLOOKUP(F167,'Tgl MC Free'!B:M,8,0)</f>
        <v>360</v>
      </c>
      <c r="L167" s="6" t="e">
        <f>VLOOKUP(F167,'Tgl Maintenance untuk Kontrak'!$D:$M,10,0)</f>
        <v>#N/A</v>
      </c>
    </row>
    <row r="168" spans="1:13" x14ac:dyDescent="0.3">
      <c r="A168" s="5">
        <v>166</v>
      </c>
      <c r="B168" s="5" t="s">
        <v>341</v>
      </c>
      <c r="C168" s="5" t="s">
        <v>341</v>
      </c>
      <c r="D168" s="6">
        <v>45273</v>
      </c>
      <c r="E168" s="6"/>
      <c r="F168" s="8" t="s">
        <v>187</v>
      </c>
      <c r="G168" s="8" t="s">
        <v>608</v>
      </c>
      <c r="H168" s="15">
        <f>VLOOKUP(F168,'Counting Free'!$B:$F,4,0)</f>
        <v>0</v>
      </c>
      <c r="I168" s="14">
        <f>VLOOKUP(F168,'Counting Kontrak'!B:E,4,0)</f>
        <v>0</v>
      </c>
      <c r="J168" s="5" t="str">
        <f ca="1">VLOOKUP(F168,'Data Garansi'!$E:$I,5,0)</f>
        <v>Tidak</v>
      </c>
      <c r="K168" s="6">
        <f>VLOOKUP(F168,'Tgl MC Free'!B:M,8,0)</f>
        <v>360</v>
      </c>
      <c r="L168" s="6">
        <f>VLOOKUP(F168,'Tgl Maintenance untuk Kontrak'!$D:$M,10,0)</f>
        <v>0</v>
      </c>
    </row>
    <row r="169" spans="1:13" x14ac:dyDescent="0.3">
      <c r="A169" s="5">
        <v>167</v>
      </c>
      <c r="B169" s="5" t="s">
        <v>365</v>
      </c>
      <c r="C169" s="5">
        <v>230557</v>
      </c>
      <c r="D169" s="6">
        <v>45274</v>
      </c>
      <c r="E169" s="6" t="str">
        <f t="shared" ref="E169:E176" si="4">TEXT(L169,"mmm")</f>
        <v>Nov</v>
      </c>
      <c r="F169" s="8" t="s">
        <v>167</v>
      </c>
      <c r="G169" s="8" t="s">
        <v>615</v>
      </c>
      <c r="H169" s="15">
        <f>VLOOKUP(F169,'Counting Free'!$B:$F,4,0)</f>
        <v>0</v>
      </c>
      <c r="I169" s="14">
        <f>VLOOKUP(F169,'Counting Kontrak'!B:E,4,0)</f>
        <v>0</v>
      </c>
      <c r="J169" s="5" t="str">
        <f ca="1">VLOOKUP(F169,'Data Garansi'!$E:$I,5,0)</f>
        <v>Tidak</v>
      </c>
      <c r="K169" s="6">
        <f>VLOOKUP(F169,'Tgl MC Free'!B:M,8,0)</f>
        <v>360</v>
      </c>
      <c r="L169" s="6">
        <f>VLOOKUP(F169,'Tgl Maintenance untuk Kontrak'!$D:$M,10,0)</f>
        <v>45974</v>
      </c>
      <c r="M169" s="5" t="str">
        <f t="shared" ref="M169:M176" si="5">TEXT(L169,"mmm")</f>
        <v>Nov</v>
      </c>
    </row>
    <row r="170" spans="1:13" x14ac:dyDescent="0.3">
      <c r="A170" s="5">
        <v>168</v>
      </c>
      <c r="B170" s="5" t="s">
        <v>341</v>
      </c>
      <c r="C170" s="5" t="s">
        <v>341</v>
      </c>
      <c r="D170" s="6">
        <v>45286</v>
      </c>
      <c r="E170" s="6" t="str">
        <f t="shared" si="4"/>
        <v>Jun</v>
      </c>
      <c r="F170" s="8" t="s">
        <v>185</v>
      </c>
      <c r="G170" s="8" t="s">
        <v>608</v>
      </c>
      <c r="H170" s="15">
        <f>VLOOKUP(F170,'Counting Free'!$B:$F,4,0)</f>
        <v>0</v>
      </c>
      <c r="I170" s="14">
        <f>VLOOKUP(F170,'Counting Kontrak'!B:E,4,0)</f>
        <v>0</v>
      </c>
      <c r="J170" s="5" t="str">
        <f ca="1">VLOOKUP(F170,'Data Garansi'!$E:$I,5,0)</f>
        <v>Tidak</v>
      </c>
      <c r="K170" s="6">
        <f>VLOOKUP(F170,'Tgl MC Free'!B:M,8,0)</f>
        <v>360</v>
      </c>
      <c r="L170" s="6">
        <f>VLOOKUP(F170,'Tgl Maintenance untuk Kontrak'!$D:$M,10,0)</f>
        <v>46559</v>
      </c>
      <c r="M170" s="5" t="str">
        <f t="shared" si="5"/>
        <v>Jun</v>
      </c>
    </row>
    <row r="171" spans="1:13" x14ac:dyDescent="0.3">
      <c r="A171" s="5">
        <v>169</v>
      </c>
      <c r="B171" s="5" t="s">
        <v>368</v>
      </c>
      <c r="C171" s="5" t="s">
        <v>275</v>
      </c>
      <c r="D171" s="6">
        <v>45287</v>
      </c>
      <c r="E171" s="6" t="str">
        <f t="shared" si="4"/>
        <v>Nov</v>
      </c>
      <c r="F171" s="8" t="s">
        <v>73</v>
      </c>
      <c r="G171" s="8" t="s">
        <v>632</v>
      </c>
      <c r="H171" s="15">
        <f>VLOOKUP(F171,'Counting Free'!$B:$F,4,0)</f>
        <v>0</v>
      </c>
      <c r="I171" s="14">
        <f>VLOOKUP(F171,'Counting Kontrak'!B:E,4,0)</f>
        <v>0</v>
      </c>
      <c r="J171" s="5" t="str">
        <f ca="1">VLOOKUP(F171,'Data Garansi'!$E:$I,5,0)</f>
        <v>Tidak</v>
      </c>
      <c r="K171" s="6">
        <f>VLOOKUP(F171,'Tgl MC Free'!B:M,8,0)</f>
        <v>46090</v>
      </c>
      <c r="L171" s="6">
        <f>VLOOKUP(F171,'Tgl Maintenance untuk Kontrak'!$D:$M,10,0)</f>
        <v>45990</v>
      </c>
      <c r="M171" s="5" t="str">
        <f t="shared" si="5"/>
        <v>Nov</v>
      </c>
    </row>
    <row r="172" spans="1:13" x14ac:dyDescent="0.3">
      <c r="A172" s="5">
        <v>170</v>
      </c>
      <c r="B172" s="5" t="s">
        <v>341</v>
      </c>
      <c r="C172" s="5" t="s">
        <v>341</v>
      </c>
      <c r="D172" s="6">
        <v>45290</v>
      </c>
      <c r="E172" s="6" t="str">
        <f t="shared" si="4"/>
        <v>Jul</v>
      </c>
      <c r="F172" s="8" t="s">
        <v>186</v>
      </c>
      <c r="G172" s="8" t="s">
        <v>632</v>
      </c>
      <c r="H172" s="15">
        <f>VLOOKUP(F172,'Counting Free'!$B:$F,4,0)</f>
        <v>0</v>
      </c>
      <c r="I172" s="14">
        <f>VLOOKUP(F172,'Counting Kontrak'!B:E,4,0)</f>
        <v>0</v>
      </c>
      <c r="J172" s="5" t="str">
        <f ca="1">VLOOKUP(F172,'Data Garansi'!$E:$I,5,0)</f>
        <v>Tidak</v>
      </c>
      <c r="K172" s="6">
        <f>VLOOKUP(F172,'Tgl MC Free'!B:M,8,0)</f>
        <v>360</v>
      </c>
      <c r="L172" s="6">
        <f>VLOOKUP(F172,'Tgl Maintenance untuk Kontrak'!$D:$M,10,0)</f>
        <v>46220</v>
      </c>
      <c r="M172" s="5" t="str">
        <f t="shared" si="5"/>
        <v>Jul</v>
      </c>
    </row>
    <row r="173" spans="1:13" x14ac:dyDescent="0.3">
      <c r="A173" s="5">
        <v>171</v>
      </c>
      <c r="B173" s="5" t="s">
        <v>388</v>
      </c>
      <c r="C173" s="5" t="s">
        <v>346</v>
      </c>
      <c r="D173" s="6">
        <v>45299</v>
      </c>
      <c r="E173" s="6" t="str">
        <f t="shared" si="4"/>
        <v>Dec</v>
      </c>
      <c r="F173" s="8" t="s">
        <v>175</v>
      </c>
      <c r="G173" s="8" t="s">
        <v>647</v>
      </c>
      <c r="H173" s="15">
        <f>VLOOKUP(F173,'Counting Free'!$B:$F,4,0)</f>
        <v>0</v>
      </c>
      <c r="I173" s="14">
        <f>VLOOKUP(F173,'Counting Kontrak'!B:E,4,0)</f>
        <v>0</v>
      </c>
      <c r="J173" s="5" t="str">
        <f ca="1">VLOOKUP(F173,'Data Garansi'!$E:$I,5,0)</f>
        <v>Tidak</v>
      </c>
      <c r="K173" s="6">
        <f>VLOOKUP(F173,'Tgl MC Free'!B:M,8,0)</f>
        <v>360</v>
      </c>
      <c r="L173" s="6">
        <f>VLOOKUP(F173,'Tgl Maintenance untuk Kontrak'!$D:$M,10,0)</f>
        <v>45999</v>
      </c>
      <c r="M173" s="5" t="str">
        <f t="shared" si="5"/>
        <v>Dec</v>
      </c>
    </row>
    <row r="174" spans="1:13" x14ac:dyDescent="0.3">
      <c r="A174" s="5">
        <v>172</v>
      </c>
      <c r="B174" s="5" t="s">
        <v>388</v>
      </c>
      <c r="C174" s="5" t="s">
        <v>349</v>
      </c>
      <c r="D174" s="6">
        <v>45299</v>
      </c>
      <c r="E174" s="6" t="str">
        <f t="shared" si="4"/>
        <v>Jun</v>
      </c>
      <c r="F174" s="8" t="s">
        <v>181</v>
      </c>
      <c r="G174" s="8" t="s">
        <v>617</v>
      </c>
      <c r="H174" s="15">
        <f>VLOOKUP(F174,'Counting Free'!$B:$F,4,0)</f>
        <v>0</v>
      </c>
      <c r="I174" s="14">
        <f>VLOOKUP(F174,'Counting Kontrak'!B:E,4,0)</f>
        <v>0</v>
      </c>
      <c r="J174" s="5" t="str">
        <f ca="1">VLOOKUP(F174,'Data Garansi'!$E:$I,5,0)</f>
        <v>Tidak</v>
      </c>
      <c r="K174" s="6">
        <f>VLOOKUP(F174,'Tgl MC Free'!B:M,8,0)</f>
        <v>360</v>
      </c>
      <c r="L174" s="6">
        <f>VLOOKUP(F174,'Tgl Maintenance untuk Kontrak'!$D:$M,10,0)</f>
        <v>46545</v>
      </c>
      <c r="M174" s="5" t="str">
        <f t="shared" si="5"/>
        <v>Jun</v>
      </c>
    </row>
    <row r="175" spans="1:13" x14ac:dyDescent="0.3">
      <c r="A175" s="5">
        <v>173</v>
      </c>
      <c r="B175" s="5" t="s">
        <v>367</v>
      </c>
      <c r="C175" s="5">
        <v>230573</v>
      </c>
      <c r="D175" s="6">
        <v>45300</v>
      </c>
      <c r="E175" s="6" t="str">
        <f t="shared" si="4"/>
        <v>Nov</v>
      </c>
      <c r="F175" s="8" t="s">
        <v>168</v>
      </c>
      <c r="G175" s="8" t="s">
        <v>627</v>
      </c>
      <c r="H175" s="15">
        <f>VLOOKUP(F175,'Counting Free'!$B:$F,4,0)</f>
        <v>0</v>
      </c>
      <c r="I175" s="14">
        <f>VLOOKUP(F175,'Counting Kontrak'!B:E,4,0)</f>
        <v>0</v>
      </c>
      <c r="J175" s="5" t="str">
        <f ca="1">VLOOKUP(F175,'Data Garansi'!$E:$I,5,0)</f>
        <v>Tidak</v>
      </c>
      <c r="K175" s="6">
        <f>VLOOKUP(F175,'Tgl MC Free'!B:M,8,0)</f>
        <v>360</v>
      </c>
      <c r="L175" s="6">
        <f>VLOOKUP(F175,'Tgl Maintenance untuk Kontrak'!$D:$M,10,0)</f>
        <v>45982</v>
      </c>
      <c r="M175" s="5" t="str">
        <f t="shared" si="5"/>
        <v>Nov</v>
      </c>
    </row>
    <row r="176" spans="1:13" x14ac:dyDescent="0.3">
      <c r="A176" s="5">
        <v>174</v>
      </c>
      <c r="B176" s="5" t="s">
        <v>388</v>
      </c>
      <c r="C176" s="5" t="s">
        <v>356</v>
      </c>
      <c r="D176" s="6">
        <v>45301</v>
      </c>
      <c r="E176" s="6" t="str">
        <f t="shared" si="4"/>
        <v>Jun</v>
      </c>
      <c r="F176" s="8" t="s">
        <v>194</v>
      </c>
      <c r="G176" s="8" t="s">
        <v>617</v>
      </c>
      <c r="H176" s="15">
        <f>VLOOKUP(F176,'Counting Free'!$B:$F,4,0)</f>
        <v>0</v>
      </c>
      <c r="I176" s="14">
        <f>VLOOKUP(F176,'Counting Kontrak'!B:E,4,0)</f>
        <v>0</v>
      </c>
      <c r="J176" s="5" t="str">
        <f ca="1">VLOOKUP(F176,'Data Garansi'!$E:$I,5,0)</f>
        <v>Tidak</v>
      </c>
      <c r="K176" s="6">
        <f>VLOOKUP(F176,'Tgl MC Free'!B:M,8,0)</f>
        <v>360</v>
      </c>
      <c r="L176" s="6">
        <f>VLOOKUP(F176,'Tgl Maintenance untuk Kontrak'!$D:$M,10,0)</f>
        <v>46565</v>
      </c>
      <c r="M176" s="5" t="str">
        <f t="shared" si="5"/>
        <v>Jun</v>
      </c>
    </row>
    <row r="177" spans="1:13" x14ac:dyDescent="0.3">
      <c r="A177" s="5">
        <v>175</v>
      </c>
      <c r="B177" s="5" t="s">
        <v>363</v>
      </c>
      <c r="C177" s="5">
        <v>230559</v>
      </c>
      <c r="D177" s="6">
        <v>45302</v>
      </c>
      <c r="E177" s="6"/>
      <c r="F177" s="8" t="s">
        <v>428</v>
      </c>
      <c r="G177" s="8" t="s">
        <v>610</v>
      </c>
      <c r="H177" s="15">
        <f>VLOOKUP(F177,'Counting Free'!$B:$F,4,0)</f>
        <v>0</v>
      </c>
      <c r="I177" s="14">
        <f>VLOOKUP(F177,'Counting Kontrak'!B:E,4,0)</f>
        <v>0</v>
      </c>
      <c r="J177" s="5" t="str">
        <f ca="1">VLOOKUP(F177,'Data Garansi'!$E:$I,5,0)</f>
        <v>Tidak</v>
      </c>
      <c r="K177" s="6">
        <f>VLOOKUP(F177,'Tgl MC Free'!B:M,8,0)</f>
        <v>360</v>
      </c>
      <c r="L177" s="6">
        <f>VLOOKUP(F177,'Tgl Maintenance untuk Kontrak'!$D:$M,10,0)</f>
        <v>46048</v>
      </c>
    </row>
    <row r="178" spans="1:13" x14ac:dyDescent="0.3">
      <c r="A178" s="5">
        <v>176</v>
      </c>
      <c r="B178" s="5" t="s">
        <v>368</v>
      </c>
      <c r="C178" s="5">
        <v>230611</v>
      </c>
      <c r="D178" s="6">
        <v>45302</v>
      </c>
      <c r="E178" s="6"/>
      <c r="F178" s="8" t="s">
        <v>158</v>
      </c>
      <c r="G178" s="8" t="s">
        <v>641</v>
      </c>
      <c r="H178" s="15">
        <f>VLOOKUP(F178,'Counting Free'!$B:$F,4,0)</f>
        <v>0</v>
      </c>
      <c r="I178" s="14">
        <f>VLOOKUP(F178,'Counting Kontrak'!B:E,4,0)</f>
        <v>0</v>
      </c>
      <c r="J178" s="5" t="str">
        <f ca="1">VLOOKUP(F178,'Data Garansi'!$E:$I,5,0)</f>
        <v>Tidak</v>
      </c>
      <c r="K178" s="6">
        <f>VLOOKUP(F178,'Tgl MC Free'!B:M,8,0)</f>
        <v>360</v>
      </c>
      <c r="L178" s="6">
        <f>VLOOKUP(F178,'Tgl Maintenance untuk Kontrak'!$D:$M,10,0)</f>
        <v>46036</v>
      </c>
    </row>
    <row r="179" spans="1:13" x14ac:dyDescent="0.3">
      <c r="A179" s="5">
        <v>177</v>
      </c>
      <c r="B179" s="5" t="s">
        <v>367</v>
      </c>
      <c r="C179" s="5">
        <v>230648</v>
      </c>
      <c r="D179" s="6">
        <v>45313</v>
      </c>
      <c r="E179" s="6" t="str">
        <f>TEXT(L179,"mmm")</f>
        <v>Nov</v>
      </c>
      <c r="F179" s="8" t="s">
        <v>169</v>
      </c>
      <c r="G179" s="8" t="s">
        <v>608</v>
      </c>
      <c r="H179" s="15">
        <f>VLOOKUP(F179,'Counting Free'!$B:$F,4,0)</f>
        <v>0</v>
      </c>
      <c r="I179" s="14">
        <f>VLOOKUP(F179,'Counting Kontrak'!B:E,4,0)</f>
        <v>0</v>
      </c>
      <c r="J179" s="5" t="str">
        <f ca="1">VLOOKUP(F179,'Data Garansi'!$E:$I,5,0)</f>
        <v>Tidak</v>
      </c>
      <c r="K179" s="6">
        <f>VLOOKUP(F179,'Tgl MC Free'!B:M,8,0)</f>
        <v>360</v>
      </c>
      <c r="L179" s="6">
        <f>VLOOKUP(F179,'Tgl Maintenance untuk Kontrak'!$D:$M,10,0)</f>
        <v>45979</v>
      </c>
      <c r="M179" s="5" t="str">
        <f>TEXT(L179,"mmm")</f>
        <v>Nov</v>
      </c>
    </row>
    <row r="180" spans="1:13" x14ac:dyDescent="0.3">
      <c r="A180" s="5">
        <v>178</v>
      </c>
      <c r="B180" s="5" t="s">
        <v>341</v>
      </c>
      <c r="C180" s="5" t="s">
        <v>341</v>
      </c>
      <c r="D180" s="6">
        <v>45314</v>
      </c>
      <c r="E180" s="6" t="str">
        <f>TEXT(L180,"mmm")</f>
        <v>Dec</v>
      </c>
      <c r="F180" s="8" t="s">
        <v>190</v>
      </c>
      <c r="G180" s="8" t="s">
        <v>608</v>
      </c>
      <c r="H180" s="15">
        <f>VLOOKUP(F180,'Counting Free'!$B:$F,4,0)</f>
        <v>0</v>
      </c>
      <c r="I180" s="14">
        <f>VLOOKUP(F180,'Counting Kontrak'!B:E,4,0)</f>
        <v>0</v>
      </c>
      <c r="J180" s="5" t="str">
        <f ca="1">VLOOKUP(F180,'Data Garansi'!$E:$I,5,0)</f>
        <v>Tidak</v>
      </c>
      <c r="K180" s="6">
        <f>VLOOKUP(F180,'Tgl MC Free'!B:M,8,0)</f>
        <v>360</v>
      </c>
      <c r="L180" s="6">
        <f>VLOOKUP(F180,'Tgl Maintenance untuk Kontrak'!$D:$M,10,0)</f>
        <v>46022</v>
      </c>
      <c r="M180" s="5" t="str">
        <f>TEXT(L180,"mmm")</f>
        <v>Dec</v>
      </c>
    </row>
    <row r="181" spans="1:13" x14ac:dyDescent="0.3">
      <c r="A181" s="5">
        <v>179</v>
      </c>
      <c r="B181" s="5" t="s">
        <v>341</v>
      </c>
      <c r="C181" s="5" t="s">
        <v>341</v>
      </c>
      <c r="D181" s="6">
        <v>45314</v>
      </c>
      <c r="E181" s="6" t="str">
        <f>TEXT(L181,"mmm")</f>
        <v>Dec</v>
      </c>
      <c r="F181" s="8" t="s">
        <v>190</v>
      </c>
      <c r="G181" s="8" t="s">
        <v>608</v>
      </c>
      <c r="H181" s="15">
        <f>VLOOKUP(F181,'Counting Free'!$B:$F,4,0)</f>
        <v>0</v>
      </c>
      <c r="I181" s="14">
        <f>VLOOKUP(F181,'Counting Kontrak'!B:E,4,0)</f>
        <v>0</v>
      </c>
      <c r="J181" s="5" t="str">
        <f ca="1">VLOOKUP(F181,'Data Garansi'!$E:$I,5,0)</f>
        <v>Tidak</v>
      </c>
      <c r="K181" s="6">
        <f>VLOOKUP(F181,'Tgl MC Free'!B:M,8,0)</f>
        <v>360</v>
      </c>
      <c r="L181" s="6">
        <f>VLOOKUP(F181,'Tgl Maintenance untuk Kontrak'!$D:$M,10,0)</f>
        <v>46022</v>
      </c>
      <c r="M181" s="5" t="str">
        <f>TEXT(L181,"mmm")</f>
        <v>Dec</v>
      </c>
    </row>
    <row r="182" spans="1:13" x14ac:dyDescent="0.3">
      <c r="A182" s="5">
        <v>180</v>
      </c>
      <c r="B182" s="5" t="s">
        <v>341</v>
      </c>
      <c r="C182" s="5" t="s">
        <v>341</v>
      </c>
      <c r="D182" s="6">
        <v>45314</v>
      </c>
      <c r="E182" s="6" t="str">
        <f>TEXT(L182,"mmm")</f>
        <v>Dec</v>
      </c>
      <c r="F182" s="8" t="s">
        <v>190</v>
      </c>
      <c r="G182" s="8" t="s">
        <v>608</v>
      </c>
      <c r="H182" s="15">
        <f>VLOOKUP(F182,'Counting Free'!$B:$F,4,0)</f>
        <v>0</v>
      </c>
      <c r="I182" s="14">
        <f>VLOOKUP(F182,'Counting Kontrak'!B:E,4,0)</f>
        <v>0</v>
      </c>
      <c r="J182" s="5" t="str">
        <f ca="1">VLOOKUP(F182,'Data Garansi'!$E:$I,5,0)</f>
        <v>Tidak</v>
      </c>
      <c r="K182" s="6">
        <f>VLOOKUP(F182,'Tgl MC Free'!B:M,8,0)</f>
        <v>360</v>
      </c>
      <c r="L182" s="6">
        <f>VLOOKUP(F182,'Tgl Maintenance untuk Kontrak'!$D:$M,10,0)</f>
        <v>46022</v>
      </c>
      <c r="M182" s="5" t="str">
        <f>TEXT(L182,"mmm")</f>
        <v>Dec</v>
      </c>
    </row>
    <row r="183" spans="1:13" x14ac:dyDescent="0.3">
      <c r="A183" s="5">
        <v>181</v>
      </c>
      <c r="B183" s="5" t="s">
        <v>364</v>
      </c>
      <c r="C183" s="5">
        <v>230164</v>
      </c>
      <c r="D183" s="6">
        <v>45316</v>
      </c>
      <c r="E183" s="6"/>
      <c r="F183" s="8" t="s">
        <v>144</v>
      </c>
      <c r="G183" s="8" t="s">
        <v>617</v>
      </c>
      <c r="H183" s="15">
        <f>VLOOKUP(F183,'Counting Free'!$B:$F,4,0)</f>
        <v>0</v>
      </c>
      <c r="I183" s="14">
        <f>VLOOKUP(F183,'Counting Kontrak'!B:E,4,0)</f>
        <v>0</v>
      </c>
      <c r="J183" s="5" t="str">
        <f ca="1">VLOOKUP(F183,'Data Garansi'!$E:$I,5,0)</f>
        <v>Tidak</v>
      </c>
      <c r="K183" s="6">
        <f>VLOOKUP(F183,'Tgl MC Free'!B:M,8,0)</f>
        <v>360</v>
      </c>
      <c r="L183" s="6">
        <f>VLOOKUP(F183,'Tgl Maintenance untuk Kontrak'!$D:$M,10,0)</f>
        <v>0</v>
      </c>
    </row>
    <row r="184" spans="1:13" x14ac:dyDescent="0.3">
      <c r="A184" s="5">
        <v>182</v>
      </c>
      <c r="B184" s="5" t="s">
        <v>381</v>
      </c>
      <c r="C184" s="5" t="s">
        <v>207</v>
      </c>
      <c r="D184" s="6">
        <v>45319</v>
      </c>
      <c r="E184" s="6"/>
      <c r="F184" s="8" t="s">
        <v>118</v>
      </c>
      <c r="G184" s="8" t="s">
        <v>609</v>
      </c>
      <c r="H184" s="15">
        <f>VLOOKUP(F184,'Counting Free'!$B:$F,4,0)</f>
        <v>0</v>
      </c>
      <c r="I184" s="14">
        <f>VLOOKUP(F184,'Counting Kontrak'!B:E,4,0)</f>
        <v>0</v>
      </c>
      <c r="J184" s="5" t="str">
        <f ca="1">VLOOKUP(F184,'Data Garansi'!$E:$I,5,0)</f>
        <v>Tidak</v>
      </c>
      <c r="K184" s="6">
        <f>VLOOKUP(F184,'Tgl MC Free'!B:M,8,0)</f>
        <v>360</v>
      </c>
      <c r="L184" s="6">
        <f>VLOOKUP(F184,'Tgl Maintenance untuk Kontrak'!$D:$M,10,0)</f>
        <v>0</v>
      </c>
    </row>
    <row r="185" spans="1:13" x14ac:dyDescent="0.3">
      <c r="A185" s="5">
        <v>183</v>
      </c>
      <c r="B185" s="5" t="s">
        <v>363</v>
      </c>
      <c r="C185" s="5">
        <v>230210</v>
      </c>
      <c r="D185" s="6">
        <v>45319</v>
      </c>
      <c r="E185" s="6"/>
      <c r="F185" s="8" t="s">
        <v>149</v>
      </c>
      <c r="G185" s="8" t="s">
        <v>617</v>
      </c>
      <c r="H185" s="15">
        <f>VLOOKUP(F185,'Counting Free'!$B:$F,4,0)</f>
        <v>0</v>
      </c>
      <c r="I185" s="14">
        <f>VLOOKUP(F185,'Counting Kontrak'!B:E,4,0)</f>
        <v>0</v>
      </c>
      <c r="J185" s="5" t="str">
        <f ca="1">VLOOKUP(F185,'Data Garansi'!$E:$I,5,0)</f>
        <v>Tidak</v>
      </c>
      <c r="K185" s="6">
        <f>VLOOKUP(F185,'Tgl MC Free'!B:M,8,0)</f>
        <v>360</v>
      </c>
      <c r="L185" s="6">
        <f>VLOOKUP(F185,'Tgl Maintenance untuk Kontrak'!$D:$M,10,0)</f>
        <v>0</v>
      </c>
    </row>
    <row r="186" spans="1:13" x14ac:dyDescent="0.3">
      <c r="A186" s="5">
        <v>184</v>
      </c>
      <c r="B186" s="5" t="s">
        <v>388</v>
      </c>
      <c r="C186" s="5" t="s">
        <v>350</v>
      </c>
      <c r="D186" s="6">
        <v>45319</v>
      </c>
      <c r="E186" s="6" t="str">
        <f>TEXT(L186,"mmm")</f>
        <v>Jan</v>
      </c>
      <c r="F186" s="8" t="s">
        <v>182</v>
      </c>
      <c r="G186" s="8" t="s">
        <v>614</v>
      </c>
      <c r="H186" s="15">
        <f>VLOOKUP(F186,'Counting Free'!$B:$F,4,0)</f>
        <v>0</v>
      </c>
      <c r="I186" s="14">
        <f>VLOOKUP(F186,'Counting Kontrak'!B:E,4,0)</f>
        <v>0</v>
      </c>
      <c r="J186" s="5" t="str">
        <f ca="1">VLOOKUP(F186,'Data Garansi'!$E:$I,5,0)</f>
        <v>Tidak</v>
      </c>
      <c r="K186" s="6">
        <f>VLOOKUP(F186,'Tgl MC Free'!B:M,8,0)</f>
        <v>360</v>
      </c>
      <c r="L186" s="6">
        <f>VLOOKUP(F186,'Tgl Maintenance untuk Kontrak'!$D:$M,10,0)</f>
        <v>46042</v>
      </c>
      <c r="M186" s="5" t="str">
        <f>TEXT(L186,"mmm")</f>
        <v>Jan</v>
      </c>
    </row>
    <row r="187" spans="1:13" x14ac:dyDescent="0.3">
      <c r="A187" s="5">
        <v>185</v>
      </c>
      <c r="B187" s="5" t="s">
        <v>341</v>
      </c>
      <c r="C187" s="5" t="s">
        <v>341</v>
      </c>
      <c r="D187" s="6">
        <v>45325</v>
      </c>
      <c r="E187" s="6" t="str">
        <f>TEXT(L187,"mmm")</f>
        <v>Apr</v>
      </c>
      <c r="F187" s="8" t="s">
        <v>195</v>
      </c>
      <c r="G187" s="8" t="s">
        <v>617</v>
      </c>
      <c r="H187" s="15">
        <f>VLOOKUP(F187,'Counting Free'!$B:$F,4,0)</f>
        <v>0</v>
      </c>
      <c r="I187" s="14">
        <f>VLOOKUP(F187,'Counting Kontrak'!B:E,4,0)</f>
        <v>0</v>
      </c>
      <c r="J187" s="5" t="str">
        <f ca="1">VLOOKUP(F187,'Data Garansi'!$E:$I,5,0)</f>
        <v>Tidak</v>
      </c>
      <c r="K187" s="6">
        <f>VLOOKUP(F187,'Tgl MC Free'!B:M,8,0)</f>
        <v>360</v>
      </c>
      <c r="L187" s="6">
        <f>VLOOKUP(F187,'Tgl Maintenance untuk Kontrak'!$D:$M,10,0)</f>
        <v>46123</v>
      </c>
      <c r="M187" s="5" t="str">
        <f>TEXT(L187,"mmm")</f>
        <v>Apr</v>
      </c>
    </row>
    <row r="188" spans="1:13" x14ac:dyDescent="0.3">
      <c r="A188" s="5">
        <v>186</v>
      </c>
      <c r="B188" s="5" t="s">
        <v>361</v>
      </c>
      <c r="C188" s="5" t="s">
        <v>207</v>
      </c>
      <c r="D188" s="6">
        <v>45331</v>
      </c>
      <c r="E188" s="6"/>
      <c r="F188" s="8" t="s">
        <v>178</v>
      </c>
      <c r="G188" s="8" t="s">
        <v>622</v>
      </c>
      <c r="H188" s="15">
        <f>VLOOKUP(F188,'Counting Free'!$B:$F,4,0)</f>
        <v>0</v>
      </c>
      <c r="I188" s="14">
        <f>VLOOKUP(F188,'Counting Kontrak'!B:E,4,0)</f>
        <v>0</v>
      </c>
      <c r="J188" s="5" t="str">
        <f ca="1">VLOOKUP(F188,'Data Garansi'!$E:$I,5,0)</f>
        <v>Tidak</v>
      </c>
      <c r="K188" s="6">
        <f>VLOOKUP(F188,'Tgl MC Free'!B:M,8,0)</f>
        <v>360</v>
      </c>
      <c r="L188" s="6">
        <f>VLOOKUP(F188,'Tgl Maintenance untuk Kontrak'!$D:$M,10,0)</f>
        <v>0</v>
      </c>
    </row>
    <row r="189" spans="1:13" x14ac:dyDescent="0.3">
      <c r="A189" s="5">
        <v>187</v>
      </c>
      <c r="B189" s="5" t="s">
        <v>364</v>
      </c>
      <c r="C189" s="5" t="s">
        <v>331</v>
      </c>
      <c r="D189" s="6">
        <v>45335</v>
      </c>
      <c r="E189" s="6"/>
      <c r="F189" s="8" t="s">
        <v>132</v>
      </c>
      <c r="G189" s="8" t="s">
        <v>615</v>
      </c>
      <c r="H189" s="15">
        <f>VLOOKUP(F189,'Counting Free'!$B:$F,4,0)</f>
        <v>0</v>
      </c>
      <c r="I189" s="14">
        <f>VLOOKUP(F189,'Counting Kontrak'!B:E,4,0)</f>
        <v>0</v>
      </c>
      <c r="J189" s="5" t="str">
        <f ca="1">VLOOKUP(F189,'Data Garansi'!$E:$I,5,0)</f>
        <v>Tidak</v>
      </c>
      <c r="K189" s="6">
        <f>VLOOKUP(F189,'Tgl MC Free'!B:M,8,0)</f>
        <v>360</v>
      </c>
      <c r="L189" s="6">
        <f>VLOOKUP(F189,'Tgl Maintenance untuk Kontrak'!$D:$M,10,0)</f>
        <v>46057</v>
      </c>
    </row>
    <row r="190" spans="1:13" x14ac:dyDescent="0.3">
      <c r="A190" s="5">
        <v>188</v>
      </c>
      <c r="B190" s="5" t="s">
        <v>364</v>
      </c>
      <c r="C190" s="5">
        <v>230511</v>
      </c>
      <c r="D190" s="6">
        <v>45335</v>
      </c>
      <c r="E190" s="6"/>
      <c r="F190" s="8" t="s">
        <v>164</v>
      </c>
      <c r="G190" s="8" t="s">
        <v>627</v>
      </c>
      <c r="H190" s="15">
        <f>VLOOKUP(F190,'Counting Free'!$B:$F,4,0)</f>
        <v>0</v>
      </c>
      <c r="I190" s="14">
        <f>VLOOKUP(F190,'Counting Kontrak'!B:E,4,0)</f>
        <v>0</v>
      </c>
      <c r="J190" s="5" t="str">
        <f ca="1">VLOOKUP(F190,'Data Garansi'!$E:$I,5,0)</f>
        <v>Tidak</v>
      </c>
      <c r="K190" s="6">
        <f>VLOOKUP(F190,'Tgl MC Free'!B:M,8,0)</f>
        <v>360</v>
      </c>
      <c r="L190" s="6">
        <f>VLOOKUP(F190,'Tgl Maintenance untuk Kontrak'!$D:$M,10,0)</f>
        <v>45984</v>
      </c>
    </row>
    <row r="191" spans="1:13" x14ac:dyDescent="0.3">
      <c r="A191" s="5">
        <v>189</v>
      </c>
      <c r="B191" s="5" t="s">
        <v>368</v>
      </c>
      <c r="C191" s="5">
        <v>230720</v>
      </c>
      <c r="D191" s="6">
        <v>45342</v>
      </c>
      <c r="E191" s="6" t="str">
        <f>TEXT(L191,"mmm")</f>
        <v>Jan</v>
      </c>
      <c r="F191" s="8" t="s">
        <v>176</v>
      </c>
      <c r="G191" s="8" t="s">
        <v>610</v>
      </c>
      <c r="H191" s="15">
        <f>VLOOKUP(F191,'Counting Free'!$B:$F,4,0)</f>
        <v>0</v>
      </c>
      <c r="I191" s="14">
        <f>VLOOKUP(F191,'Counting Kontrak'!B:E,4,0)</f>
        <v>0</v>
      </c>
      <c r="J191" s="5" t="str">
        <f ca="1">VLOOKUP(F191,'Data Garansi'!$E:$I,5,0)</f>
        <v>Tidak</v>
      </c>
      <c r="K191" s="6">
        <f>VLOOKUP(F191,'Tgl MC Free'!B:M,8,0)</f>
        <v>360</v>
      </c>
      <c r="L191" s="6">
        <f>VLOOKUP(F191,'Tgl Maintenance untuk Kontrak'!$D:$M,10,0)</f>
        <v>46029</v>
      </c>
      <c r="M191" s="5" t="str">
        <f>TEXT(L191,"mmm")</f>
        <v>Jan</v>
      </c>
    </row>
    <row r="192" spans="1:13" x14ac:dyDescent="0.3">
      <c r="A192" s="5">
        <v>190</v>
      </c>
      <c r="B192" s="5" t="s">
        <v>341</v>
      </c>
      <c r="C192" s="5" t="s">
        <v>341</v>
      </c>
      <c r="D192" s="6">
        <v>45343</v>
      </c>
      <c r="E192" s="6" t="str">
        <f>TEXT(L192,"mmm")</f>
        <v>Nov</v>
      </c>
      <c r="F192" s="8" t="s">
        <v>196</v>
      </c>
      <c r="G192" s="8" t="s">
        <v>608</v>
      </c>
      <c r="H192" s="15">
        <f>VLOOKUP(F192,'Counting Free'!$B:$F,4,0)</f>
        <v>0</v>
      </c>
      <c r="I192" s="14">
        <f>VLOOKUP(F192,'Counting Kontrak'!B:E,4,0)</f>
        <v>0</v>
      </c>
      <c r="J192" s="5" t="str">
        <f ca="1">VLOOKUP(F192,'Data Garansi'!$E:$I,5,0)</f>
        <v>Tidak</v>
      </c>
      <c r="K192" s="6">
        <f>VLOOKUP(F192,'Tgl MC Free'!B:M,8,0)</f>
        <v>360</v>
      </c>
      <c r="L192" s="6">
        <f>VLOOKUP(F192,'Tgl Maintenance untuk Kontrak'!$D:$M,10,0)</f>
        <v>45975</v>
      </c>
      <c r="M192" s="5" t="str">
        <f>TEXT(L192,"mmm")</f>
        <v>Nov</v>
      </c>
    </row>
    <row r="193" spans="1:13" x14ac:dyDescent="0.3">
      <c r="A193" s="5">
        <v>191</v>
      </c>
      <c r="B193" s="5" t="s">
        <v>341</v>
      </c>
      <c r="C193" s="5" t="s">
        <v>341</v>
      </c>
      <c r="D193" s="6">
        <v>45343</v>
      </c>
      <c r="E193" s="6" t="str">
        <f>TEXT(L193,"mmm")</f>
        <v>May</v>
      </c>
      <c r="F193" s="8" t="s">
        <v>202</v>
      </c>
      <c r="G193" s="8" t="s">
        <v>610</v>
      </c>
      <c r="H193" s="15">
        <f>VLOOKUP(F193,'Counting Free'!$B:$F,4,0)</f>
        <v>0</v>
      </c>
      <c r="I193" s="14">
        <f>VLOOKUP(F193,'Counting Kontrak'!B:E,4,0)</f>
        <v>0</v>
      </c>
      <c r="J193" s="5" t="str">
        <f ca="1">VLOOKUP(F193,'Data Garansi'!$E:$I,5,0)</f>
        <v>Tidak</v>
      </c>
      <c r="K193" s="6">
        <f>VLOOKUP(F193,'Tgl MC Free'!B:M,8,0)</f>
        <v>360</v>
      </c>
      <c r="L193" s="6">
        <f>VLOOKUP(F193,'Tgl Maintenance untuk Kontrak'!$D:$M,10,0)</f>
        <v>45787</v>
      </c>
      <c r="M193" s="5" t="str">
        <f>TEXT(L193,"mmm")</f>
        <v>May</v>
      </c>
    </row>
    <row r="194" spans="1:13" x14ac:dyDescent="0.3">
      <c r="A194" s="5">
        <v>192</v>
      </c>
      <c r="B194" s="5" t="s">
        <v>364</v>
      </c>
      <c r="C194" s="5">
        <v>230704</v>
      </c>
      <c r="D194" s="6">
        <v>45348</v>
      </c>
      <c r="E194" s="6"/>
      <c r="F194" s="8" t="s">
        <v>174</v>
      </c>
      <c r="G194" s="8" t="s">
        <v>625</v>
      </c>
      <c r="H194" s="15">
        <f>VLOOKUP(F194,'Counting Free'!$B:$F,4,0)</f>
        <v>0</v>
      </c>
      <c r="I194" s="14">
        <f>VLOOKUP(F194,'Counting Kontrak'!B:E,4,0)</f>
        <v>0</v>
      </c>
      <c r="J194" s="5" t="str">
        <f ca="1">VLOOKUP(F194,'Data Garansi'!$E:$I,5,0)</f>
        <v>Tidak</v>
      </c>
      <c r="K194" s="6">
        <f>VLOOKUP(F194,'Tgl MC Free'!B:M,8,0)</f>
        <v>360</v>
      </c>
      <c r="L194" s="6">
        <f>VLOOKUP(F194,'Tgl Maintenance untuk Kontrak'!$D:$M,10,0)</f>
        <v>45652</v>
      </c>
    </row>
    <row r="195" spans="1:13" x14ac:dyDescent="0.3">
      <c r="A195" s="5">
        <v>193</v>
      </c>
      <c r="B195" s="5" t="s">
        <v>361</v>
      </c>
      <c r="C195" s="5" t="s">
        <v>207</v>
      </c>
      <c r="D195" s="6">
        <v>45351</v>
      </c>
      <c r="E195" s="6"/>
      <c r="F195" s="8" t="s">
        <v>188</v>
      </c>
      <c r="G195" s="8" t="s">
        <v>635</v>
      </c>
      <c r="H195" s="15">
        <f>VLOOKUP(F195,'Counting Free'!$B:$F,4,0)</f>
        <v>0</v>
      </c>
      <c r="I195" s="14">
        <f>VLOOKUP(F195,'Counting Kontrak'!B:E,4,0)</f>
        <v>0</v>
      </c>
      <c r="J195" s="5" t="str">
        <f ca="1">VLOOKUP(F195,'Data Garansi'!$E:$I,5,0)</f>
        <v>Tidak</v>
      </c>
      <c r="K195" s="6">
        <f>VLOOKUP(F195,'Tgl MC Free'!B:M,8,0)</f>
        <v>360</v>
      </c>
      <c r="L195" s="6">
        <f>VLOOKUP(F195,'Tgl Maintenance untuk Kontrak'!$D:$M,10,0)</f>
        <v>46246</v>
      </c>
    </row>
    <row r="196" spans="1:13" x14ac:dyDescent="0.3">
      <c r="A196" s="5">
        <v>194</v>
      </c>
      <c r="B196" s="5" t="s">
        <v>341</v>
      </c>
      <c r="C196" s="5" t="s">
        <v>341</v>
      </c>
      <c r="D196" s="6">
        <v>45352</v>
      </c>
      <c r="E196" s="6"/>
      <c r="F196" s="8" t="s">
        <v>199</v>
      </c>
      <c r="G196" s="8" t="s">
        <v>610</v>
      </c>
      <c r="H196" s="15">
        <f>VLOOKUP(F196,'Counting Free'!$B:$F,4,0)</f>
        <v>0</v>
      </c>
      <c r="I196" s="14">
        <f>VLOOKUP(F196,'Counting Kontrak'!B:E,4,0)</f>
        <v>0</v>
      </c>
      <c r="J196" s="5" t="str">
        <f ca="1">VLOOKUP(F196,'Data Garansi'!$E:$I,5,0)</f>
        <v>Tidak</v>
      </c>
      <c r="K196" s="6">
        <f>VLOOKUP(F196,'Tgl MC Free'!B:M,8,0)</f>
        <v>360</v>
      </c>
      <c r="L196" s="6">
        <f>VLOOKUP(F196,'Tgl Maintenance untuk Kontrak'!$D:$M,10,0)</f>
        <v>0</v>
      </c>
    </row>
    <row r="197" spans="1:13" x14ac:dyDescent="0.3">
      <c r="A197" s="5">
        <v>195</v>
      </c>
      <c r="B197" s="5" t="s">
        <v>389</v>
      </c>
      <c r="C197" s="5" t="s">
        <v>357</v>
      </c>
      <c r="D197" s="6">
        <v>45356</v>
      </c>
      <c r="E197" s="6" t="str">
        <f>TEXT(L197,"mmm")</f>
        <v>May</v>
      </c>
      <c r="F197" s="8" t="s">
        <v>197</v>
      </c>
      <c r="G197" s="8" t="s">
        <v>627</v>
      </c>
      <c r="H197" s="15">
        <f>VLOOKUP(F197,'Counting Free'!$B:$F,4,0)</f>
        <v>0</v>
      </c>
      <c r="I197" s="14">
        <f>VLOOKUP(F197,'Counting Kontrak'!B:E,4,0)</f>
        <v>0</v>
      </c>
      <c r="J197" s="5" t="str">
        <f ca="1">VLOOKUP(F197,'Data Garansi'!$E:$I,5,0)</f>
        <v>Tidak</v>
      </c>
      <c r="K197" s="6">
        <f>VLOOKUP(F197,'Tgl MC Free'!B:M,8,0)</f>
        <v>360</v>
      </c>
      <c r="L197" s="6">
        <f>VLOOKUP(F197,'Tgl Maintenance untuk Kontrak'!$D:$M,10,0)</f>
        <v>46167</v>
      </c>
      <c r="M197" s="5" t="str">
        <f>TEXT(L197,"mmm")</f>
        <v>May</v>
      </c>
    </row>
    <row r="198" spans="1:13" x14ac:dyDescent="0.3">
      <c r="A198" s="5">
        <v>196</v>
      </c>
      <c r="B198" s="5" t="s">
        <v>361</v>
      </c>
      <c r="C198" s="5" t="s">
        <v>207</v>
      </c>
      <c r="D198" s="6">
        <v>45358</v>
      </c>
      <c r="E198" s="6" t="str">
        <f>TEXT(L198,"mmm")</f>
        <v>Mar</v>
      </c>
      <c r="F198" s="8" t="s">
        <v>184</v>
      </c>
      <c r="G198" s="8" t="s">
        <v>608</v>
      </c>
      <c r="H198" s="15">
        <f>VLOOKUP(F198,'Counting Free'!$B:$F,4,0)</f>
        <v>0</v>
      </c>
      <c r="I198" s="14">
        <f>VLOOKUP(F198,'Counting Kontrak'!B:E,4,0)</f>
        <v>0</v>
      </c>
      <c r="J198" s="5" t="str">
        <f ca="1">VLOOKUP(F198,'Data Garansi'!$E:$I,5,0)</f>
        <v>Tidak</v>
      </c>
      <c r="K198" s="6">
        <f>VLOOKUP(F198,'Tgl MC Free'!B:M,8,0)</f>
        <v>360</v>
      </c>
      <c r="L198" s="6">
        <f>VLOOKUP(F198,'Tgl Maintenance untuk Kontrak'!$D:$M,10,0)</f>
        <v>46107</v>
      </c>
      <c r="M198" s="5" t="str">
        <f>TEXT(L198,"mmm")</f>
        <v>Mar</v>
      </c>
    </row>
    <row r="199" spans="1:13" x14ac:dyDescent="0.3">
      <c r="A199" s="5">
        <v>197</v>
      </c>
      <c r="B199" s="5" t="s">
        <v>341</v>
      </c>
      <c r="C199" s="5" t="s">
        <v>341</v>
      </c>
      <c r="D199" s="6">
        <v>45358</v>
      </c>
      <c r="E199" s="6" t="str">
        <f>TEXT(L199,"mmm")</f>
        <v>Feb</v>
      </c>
      <c r="F199" s="8" t="s">
        <v>203</v>
      </c>
      <c r="G199" s="8" t="s">
        <v>617</v>
      </c>
      <c r="H199" s="15">
        <f>VLOOKUP(F199,'Counting Free'!$B:$F,4,0)</f>
        <v>0</v>
      </c>
      <c r="I199" s="14">
        <f>VLOOKUP(F199,'Counting Kontrak'!B:E,4,0)</f>
        <v>0</v>
      </c>
      <c r="J199" s="5" t="str">
        <f ca="1">VLOOKUP(F199,'Data Garansi'!$E:$I,5,0)</f>
        <v>Tidak</v>
      </c>
      <c r="K199" s="6">
        <f>VLOOKUP(F199,'Tgl MC Free'!B:M,8,0)</f>
        <v>360</v>
      </c>
      <c r="L199" s="6">
        <f>VLOOKUP(F199,'Tgl Maintenance untuk Kontrak'!$D:$M,10,0)</f>
        <v>46067</v>
      </c>
      <c r="M199" s="5" t="str">
        <f>TEXT(L199,"mmm")</f>
        <v>Feb</v>
      </c>
    </row>
    <row r="200" spans="1:13" x14ac:dyDescent="0.3">
      <c r="A200" s="5">
        <v>198</v>
      </c>
      <c r="B200" s="5" t="s">
        <v>364</v>
      </c>
      <c r="C200" s="5">
        <v>230787</v>
      </c>
      <c r="D200" s="6">
        <v>45363</v>
      </c>
      <c r="E200" s="6"/>
      <c r="F200" s="8" t="s">
        <v>133</v>
      </c>
      <c r="G200" s="8" t="s">
        <v>613</v>
      </c>
      <c r="H200" s="15">
        <f>VLOOKUP(F200,'Counting Free'!$B:$F,4,0)</f>
        <v>0</v>
      </c>
      <c r="I200" s="14">
        <f>VLOOKUP(F200,'Counting Kontrak'!B:E,4,0)</f>
        <v>0</v>
      </c>
      <c r="J200" s="5" t="str">
        <f ca="1">VLOOKUP(F200,'Data Garansi'!$E:$I,5,0)</f>
        <v>Tidak</v>
      </c>
      <c r="K200" s="6">
        <f>VLOOKUP(F200,'Tgl MC Free'!B:M,8,0)</f>
        <v>360</v>
      </c>
      <c r="L200" s="6">
        <f>VLOOKUP(F200,'Tgl Maintenance untuk Kontrak'!$D:$M,10,0)</f>
        <v>45960</v>
      </c>
    </row>
    <row r="201" spans="1:13" x14ac:dyDescent="0.3">
      <c r="A201" s="5">
        <v>199</v>
      </c>
      <c r="B201" s="5" t="s">
        <v>389</v>
      </c>
      <c r="C201" s="5" t="s">
        <v>353</v>
      </c>
      <c r="D201" s="6">
        <v>45364</v>
      </c>
      <c r="E201" s="6"/>
      <c r="F201" s="8" t="s">
        <v>191</v>
      </c>
      <c r="G201" s="8" t="s">
        <v>639</v>
      </c>
      <c r="H201" s="15">
        <f>VLOOKUP(F201,'Counting Free'!$B:$F,4,0)</f>
        <v>0</v>
      </c>
      <c r="I201" s="14">
        <f>VLOOKUP(F201,'Counting Kontrak'!B:E,4,0)</f>
        <v>0</v>
      </c>
      <c r="J201" s="5" t="str">
        <f ca="1">VLOOKUP(F201,'Data Garansi'!$E:$I,5,0)</f>
        <v>Tidak</v>
      </c>
      <c r="K201" s="6">
        <f>VLOOKUP(F201,'Tgl MC Free'!B:M,8,0)</f>
        <v>360</v>
      </c>
      <c r="L201" s="6">
        <f>VLOOKUP(F201,'Tgl Maintenance untuk Kontrak'!$D:$M,10,0)</f>
        <v>0</v>
      </c>
    </row>
    <row r="202" spans="1:13" x14ac:dyDescent="0.3">
      <c r="A202" s="5">
        <v>200</v>
      </c>
      <c r="B202" s="5" t="s">
        <v>388</v>
      </c>
      <c r="C202" s="5" t="s">
        <v>352</v>
      </c>
      <c r="D202" s="6">
        <v>45365</v>
      </c>
      <c r="E202" s="6" t="str">
        <f>TEXT(L202,"mmm")</f>
        <v>Mar</v>
      </c>
      <c r="F202" s="8" t="s">
        <v>189</v>
      </c>
      <c r="G202" s="8" t="s">
        <v>610</v>
      </c>
      <c r="H202" s="15">
        <f>VLOOKUP(F202,'Counting Free'!$B:$F,4,0)</f>
        <v>0</v>
      </c>
      <c r="I202" s="14">
        <f>VLOOKUP(F202,'Counting Kontrak'!B:E,4,0)</f>
        <v>0</v>
      </c>
      <c r="J202" s="5" t="str">
        <f ca="1">VLOOKUP(F202,'Data Garansi'!$E:$I,5,0)</f>
        <v>Tidak</v>
      </c>
      <c r="K202" s="6">
        <f>VLOOKUP(F202,'Tgl MC Free'!B:M,8,0)</f>
        <v>360</v>
      </c>
      <c r="L202" s="6">
        <f>VLOOKUP(F202,'Tgl Maintenance untuk Kontrak'!$D:$M,10,0)</f>
        <v>46090</v>
      </c>
      <c r="M202" s="5" t="str">
        <f>TEXT(L202,"mmm")</f>
        <v>Mar</v>
      </c>
    </row>
    <row r="203" spans="1:13" x14ac:dyDescent="0.3">
      <c r="A203" s="5">
        <v>201</v>
      </c>
      <c r="B203" s="5" t="s">
        <v>368</v>
      </c>
      <c r="C203" s="5">
        <v>230637</v>
      </c>
      <c r="D203" s="6">
        <v>45366</v>
      </c>
      <c r="E203" s="6" t="str">
        <f>TEXT(L203,"mmm")</f>
        <v>Feb</v>
      </c>
      <c r="F203" s="8" t="s">
        <v>55</v>
      </c>
      <c r="G203" s="8" t="s">
        <v>617</v>
      </c>
      <c r="H203" s="15">
        <f>VLOOKUP(F203,'Counting Free'!$B:$F,4,0)</f>
        <v>0</v>
      </c>
      <c r="I203" s="14">
        <f>VLOOKUP(F203,'Counting Kontrak'!B:E,4,0)</f>
        <v>0</v>
      </c>
      <c r="J203" s="5" t="str">
        <f ca="1">VLOOKUP(F203,'Data Garansi'!$E:$I,5,0)</f>
        <v>Tidak</v>
      </c>
      <c r="K203" s="6">
        <f>VLOOKUP(F203,'Tgl MC Free'!B:M,8,0)</f>
        <v>46042</v>
      </c>
      <c r="L203" s="6">
        <f>VLOOKUP(F203,'Tgl Maintenance untuk Kontrak'!$D:$M,10,0)</f>
        <v>46058</v>
      </c>
      <c r="M203" s="5" t="str">
        <f>TEXT(L203,"mmm")</f>
        <v>Feb</v>
      </c>
    </row>
    <row r="204" spans="1:13" x14ac:dyDescent="0.3">
      <c r="A204" s="5">
        <v>202</v>
      </c>
      <c r="B204" s="5" t="s">
        <v>368</v>
      </c>
      <c r="C204" s="5">
        <v>230738</v>
      </c>
      <c r="D204" s="6">
        <v>45370</v>
      </c>
      <c r="E204" s="6"/>
      <c r="F204" s="8" t="s">
        <v>173</v>
      </c>
      <c r="G204" s="8" t="s">
        <v>615</v>
      </c>
      <c r="H204" s="15">
        <f>VLOOKUP(F204,'Counting Free'!$B:$F,4,0)</f>
        <v>0</v>
      </c>
      <c r="I204" s="14">
        <f>VLOOKUP(F204,'Counting Kontrak'!B:E,4,0)</f>
        <v>0</v>
      </c>
      <c r="J204" s="5" t="str">
        <f ca="1">VLOOKUP(F204,'Data Garansi'!$E:$I,5,0)</f>
        <v>Tidak</v>
      </c>
      <c r="K204" s="6">
        <f>VLOOKUP(F204,'Tgl MC Free'!B:M,8,0)</f>
        <v>360</v>
      </c>
      <c r="L204" s="6">
        <f>VLOOKUP(F204,'Tgl Maintenance untuk Kontrak'!$D:$M,10,0)</f>
        <v>45974</v>
      </c>
    </row>
    <row r="205" spans="1:13" x14ac:dyDescent="0.3">
      <c r="A205" s="5">
        <v>203</v>
      </c>
      <c r="B205" s="5" t="s">
        <v>341</v>
      </c>
      <c r="C205" s="5" t="s">
        <v>341</v>
      </c>
      <c r="D205" s="6">
        <v>45373</v>
      </c>
      <c r="E205" s="6" t="str">
        <f>TEXT(L205,"mmm")</f>
        <v>Apr</v>
      </c>
      <c r="F205" s="8" t="s">
        <v>204</v>
      </c>
      <c r="G205" s="8" t="s">
        <v>610</v>
      </c>
      <c r="H205" s="15">
        <f>VLOOKUP(F205,'Counting Free'!$B:$F,4,0)</f>
        <v>0</v>
      </c>
      <c r="I205" s="14">
        <f>VLOOKUP(F205,'Counting Kontrak'!B:E,4,0)</f>
        <v>0</v>
      </c>
      <c r="J205" s="5" t="str">
        <f ca="1">VLOOKUP(F205,'Data Garansi'!$E:$I,5,0)</f>
        <v>Tidak</v>
      </c>
      <c r="K205" s="6">
        <f>VLOOKUP(F205,'Tgl MC Free'!B:M,8,0)</f>
        <v>360</v>
      </c>
      <c r="L205" s="6">
        <f>VLOOKUP(F205,'Tgl Maintenance untuk Kontrak'!$D:$M,10,0)</f>
        <v>46140</v>
      </c>
      <c r="M205" s="5" t="str">
        <f>TEXT(L205,"mmm")</f>
        <v>Apr</v>
      </c>
    </row>
    <row r="206" spans="1:13" x14ac:dyDescent="0.3">
      <c r="A206" s="5">
        <v>204</v>
      </c>
      <c r="B206" s="5" t="s">
        <v>365</v>
      </c>
      <c r="C206" s="5" t="s">
        <v>249</v>
      </c>
      <c r="D206" s="6">
        <v>45378</v>
      </c>
      <c r="E206" s="6" t="str">
        <f>TEXT(L206,"mmm")</f>
        <v>Jan</v>
      </c>
      <c r="F206" s="8" t="s">
        <v>46</v>
      </c>
      <c r="G206" s="8" t="s">
        <v>610</v>
      </c>
      <c r="H206" s="15">
        <f>VLOOKUP(F206,'Counting Free'!$B:$F,4,0)</f>
        <v>0</v>
      </c>
      <c r="I206" s="14">
        <f>VLOOKUP(F206,'Counting Kontrak'!B:E,4,0)</f>
        <v>0</v>
      </c>
      <c r="J206" s="5" t="str">
        <f ca="1">VLOOKUP(F206,'Data Garansi'!$E:$I,5,0)</f>
        <v>Tidak</v>
      </c>
      <c r="K206" s="6">
        <f>VLOOKUP(F206,'Tgl MC Free'!B:M,8,0)</f>
        <v>46075</v>
      </c>
      <c r="L206" s="6">
        <f>VLOOKUP(F206,'Tgl Maintenance untuk Kontrak'!$D:$M,10,0)</f>
        <v>46033</v>
      </c>
      <c r="M206" s="5" t="str">
        <f>TEXT(L206,"mmm")</f>
        <v>Jan</v>
      </c>
    </row>
    <row r="207" spans="1:13" x14ac:dyDescent="0.3">
      <c r="A207" s="5">
        <v>205</v>
      </c>
      <c r="B207" s="5" t="s">
        <v>389</v>
      </c>
      <c r="C207" s="5" t="s">
        <v>351</v>
      </c>
      <c r="D207" s="6">
        <v>45379</v>
      </c>
      <c r="E207" s="6" t="str">
        <f>TEXT(L207,"mmm")</f>
        <v>Jun</v>
      </c>
      <c r="F207" s="8" t="s">
        <v>183</v>
      </c>
      <c r="G207" s="8" t="s">
        <v>608</v>
      </c>
      <c r="H207" s="15">
        <f>VLOOKUP(F207,'Counting Free'!$B:$F,4,0)</f>
        <v>0</v>
      </c>
      <c r="I207" s="14">
        <f>VLOOKUP(F207,'Counting Kontrak'!B:E,4,0)</f>
        <v>0</v>
      </c>
      <c r="J207" s="5" t="str">
        <f ca="1">VLOOKUP(F207,'Data Garansi'!$E:$I,5,0)</f>
        <v>Tidak</v>
      </c>
      <c r="K207" s="6">
        <f>VLOOKUP(F207,'Tgl MC Free'!B:M,8,0)</f>
        <v>360</v>
      </c>
      <c r="L207" s="6">
        <f>VLOOKUP(F207,'Tgl Maintenance untuk Kontrak'!$D:$M,10,0)</f>
        <v>46558</v>
      </c>
      <c r="M207" s="5" t="str">
        <f>TEXT(L207,"mmm")</f>
        <v>Jun</v>
      </c>
    </row>
    <row r="208" spans="1:13" x14ac:dyDescent="0.3">
      <c r="A208" s="5">
        <v>206</v>
      </c>
      <c r="B208" s="5" t="s">
        <v>341</v>
      </c>
      <c r="C208" s="5" t="s">
        <v>341</v>
      </c>
      <c r="D208" s="6">
        <v>45379</v>
      </c>
      <c r="E208" s="6" t="str">
        <f>TEXT(L208,"mmm")</f>
        <v>May</v>
      </c>
      <c r="F208" s="8" t="s">
        <v>205</v>
      </c>
      <c r="G208" s="8" t="s">
        <v>618</v>
      </c>
      <c r="H208" s="15">
        <f>VLOOKUP(F208,'Counting Free'!$B:$F,4,0)</f>
        <v>0</v>
      </c>
      <c r="I208" s="14">
        <f>VLOOKUP(F208,'Counting Kontrak'!B:E,4,0)</f>
        <v>0</v>
      </c>
      <c r="J208" s="5" t="str">
        <f ca="1">VLOOKUP(F208,'Data Garansi'!$E:$I,5,0)</f>
        <v>Tidak</v>
      </c>
      <c r="K208" s="6">
        <f>VLOOKUP(F208,'Tgl MC Free'!B:M,8,0)</f>
        <v>360</v>
      </c>
      <c r="L208" s="6">
        <f>VLOOKUP(F208,'Tgl Maintenance untuk Kontrak'!$D:$M,10,0)</f>
        <v>46169</v>
      </c>
      <c r="M208" s="5" t="str">
        <f>TEXT(L208,"mmm")</f>
        <v>May</v>
      </c>
    </row>
    <row r="209" spans="1:13" x14ac:dyDescent="0.3">
      <c r="A209" s="5">
        <v>207</v>
      </c>
      <c r="B209" s="5" t="s">
        <v>341</v>
      </c>
      <c r="C209" s="5" t="s">
        <v>341</v>
      </c>
      <c r="D209" s="6">
        <v>45386</v>
      </c>
      <c r="E209" s="6"/>
      <c r="F209" s="8" t="s">
        <v>206</v>
      </c>
      <c r="G209" s="8" t="s">
        <v>608</v>
      </c>
      <c r="H209" s="15">
        <f>VLOOKUP(F209,'Counting Free'!$B:$F,4,0)</f>
        <v>0</v>
      </c>
      <c r="I209" s="14">
        <f>VLOOKUP(F209,'Counting Kontrak'!B:E,4,0)</f>
        <v>0</v>
      </c>
      <c r="J209" s="5" t="str">
        <f ca="1">VLOOKUP(F209,'Data Garansi'!$E:$I,5,0)</f>
        <v>Tidak</v>
      </c>
      <c r="K209" s="6">
        <f>VLOOKUP(F209,'Tgl MC Free'!B:M,8,0)</f>
        <v>360</v>
      </c>
      <c r="L209" s="6">
        <f>VLOOKUP(F209,'Tgl Maintenance untuk Kontrak'!$D:$M,10,0)</f>
        <v>46262</v>
      </c>
    </row>
    <row r="210" spans="1:13" x14ac:dyDescent="0.3">
      <c r="A210" s="5">
        <v>208</v>
      </c>
      <c r="B210" s="5" t="s">
        <v>388</v>
      </c>
      <c r="C210" s="5" t="s">
        <v>358</v>
      </c>
      <c r="D210" s="6">
        <v>45387</v>
      </c>
      <c r="E210" s="6" t="str">
        <f>TEXT(L210,"mmm")</f>
        <v>Feb</v>
      </c>
      <c r="F210" s="8" t="s">
        <v>198</v>
      </c>
      <c r="G210" s="8" t="s">
        <v>648</v>
      </c>
      <c r="H210" s="15">
        <f>VLOOKUP(F210,'Counting Free'!$B:$F,4,0)</f>
        <v>0</v>
      </c>
      <c r="I210" s="14">
        <f>VLOOKUP(F210,'Counting Kontrak'!B:E,4,0)</f>
        <v>0</v>
      </c>
      <c r="J210" s="5" t="str">
        <f ca="1">VLOOKUP(F210,'Data Garansi'!$E:$I,5,0)</f>
        <v>Tidak</v>
      </c>
      <c r="K210" s="6">
        <f>VLOOKUP(F210,'Tgl MC Free'!B:M,8,0)</f>
        <v>360</v>
      </c>
      <c r="L210" s="6">
        <f>VLOOKUP(F210,'Tgl Maintenance untuk Kontrak'!$D:$M,10,0)</f>
        <v>46071</v>
      </c>
      <c r="M210" s="5" t="str">
        <f>TEXT(L210,"mmm")</f>
        <v>Feb</v>
      </c>
    </row>
    <row r="211" spans="1:13" x14ac:dyDescent="0.3">
      <c r="A211" s="5">
        <v>209</v>
      </c>
      <c r="B211" s="5" t="s">
        <v>361</v>
      </c>
      <c r="C211" s="5" t="s">
        <v>535</v>
      </c>
      <c r="D211" s="6">
        <v>45387</v>
      </c>
      <c r="E211" s="6" t="str">
        <f>TEXT(L211,"mmm")</f>
        <v>May</v>
      </c>
      <c r="F211" s="8" t="s">
        <v>201</v>
      </c>
      <c r="G211" s="8" t="s">
        <v>608</v>
      </c>
      <c r="H211" s="15">
        <f>VLOOKUP(F211,'Counting Free'!$B:$F,4,0)</f>
        <v>0</v>
      </c>
      <c r="I211" s="14">
        <f>VLOOKUP(F211,'Counting Kontrak'!B:E,4,0)</f>
        <v>5</v>
      </c>
      <c r="J211" s="5" t="str">
        <f ca="1">VLOOKUP(F211,'Data Garansi'!$E:$I,5,0)</f>
        <v>Tidak</v>
      </c>
      <c r="K211" s="6">
        <f>VLOOKUP(F211,'Tgl MC Free'!B:M,8,0)</f>
        <v>360</v>
      </c>
      <c r="L211" s="6">
        <f>VLOOKUP(F211,'Tgl Maintenance untuk Kontrak'!$D:$M,10,0)</f>
        <v>46147</v>
      </c>
      <c r="M211" s="5" t="str">
        <f>TEXT(L211,"mmm")</f>
        <v>May</v>
      </c>
    </row>
    <row r="212" spans="1:13" x14ac:dyDescent="0.3">
      <c r="A212" s="5">
        <v>210</v>
      </c>
      <c r="B212" s="5" t="s">
        <v>364</v>
      </c>
      <c r="C212" s="5">
        <v>230882</v>
      </c>
      <c r="D212" s="6">
        <v>45388</v>
      </c>
      <c r="E212" s="6"/>
      <c r="F212" s="8" t="s">
        <v>171</v>
      </c>
      <c r="G212" s="8" t="s">
        <v>627</v>
      </c>
      <c r="H212" s="15">
        <f>VLOOKUP(F212,'Counting Free'!$B:$F,4,0)</f>
        <v>0</v>
      </c>
      <c r="I212" s="14">
        <f>VLOOKUP(F212,'Counting Kontrak'!B:E,4,0)</f>
        <v>0</v>
      </c>
      <c r="J212" s="5" t="str">
        <f ca="1">VLOOKUP(F212,'Data Garansi'!$E:$I,5,0)</f>
        <v>Tidak</v>
      </c>
      <c r="K212" s="6">
        <f>VLOOKUP(F212,'Tgl MC Free'!B:M,8,0)</f>
        <v>360</v>
      </c>
      <c r="L212" s="6">
        <f>VLOOKUP(F212,'Tgl Maintenance untuk Kontrak'!$D:$M,10,0)</f>
        <v>46046</v>
      </c>
    </row>
    <row r="213" spans="1:13" x14ac:dyDescent="0.3">
      <c r="A213" s="5">
        <v>211</v>
      </c>
      <c r="B213" s="5" t="s">
        <v>364</v>
      </c>
      <c r="C213" s="5" t="s">
        <v>355</v>
      </c>
      <c r="D213" s="6">
        <v>45405</v>
      </c>
      <c r="E213" s="6" t="str">
        <f>TEXT(L213,"mmm")</f>
        <v>Apr</v>
      </c>
      <c r="F213" s="8" t="s">
        <v>193</v>
      </c>
      <c r="G213" s="8" t="s">
        <v>649</v>
      </c>
      <c r="H213" s="15">
        <f>VLOOKUP(F213,'Counting Free'!$B:$F,4,0)</f>
        <v>0</v>
      </c>
      <c r="I213" s="14">
        <f>VLOOKUP(F213,'Counting Kontrak'!B:E,4,0)</f>
        <v>0</v>
      </c>
      <c r="J213" s="5" t="str">
        <f ca="1">VLOOKUP(F213,'Data Garansi'!$E:$I,5,0)</f>
        <v>Tidak</v>
      </c>
      <c r="K213" s="6">
        <f>VLOOKUP(F213,'Tgl MC Free'!B:M,8,0)</f>
        <v>360</v>
      </c>
      <c r="L213" s="6">
        <f>VLOOKUP(F213,'Tgl Maintenance untuk Kontrak'!$D:$M,10,0)</f>
        <v>45755</v>
      </c>
      <c r="M213" s="5" t="str">
        <f>TEXT(L213,"mmm")</f>
        <v>Apr</v>
      </c>
    </row>
    <row r="214" spans="1:13" x14ac:dyDescent="0.3">
      <c r="A214" s="5">
        <v>212</v>
      </c>
      <c r="B214" s="5" t="s">
        <v>389</v>
      </c>
      <c r="C214" s="5" t="s">
        <v>354</v>
      </c>
      <c r="D214" s="6">
        <v>45405</v>
      </c>
      <c r="E214" s="6" t="str">
        <f>TEXT(L214,"mmm")</f>
        <v>Sep</v>
      </c>
      <c r="F214" s="8" t="s">
        <v>192</v>
      </c>
      <c r="G214" s="8" t="s">
        <v>617</v>
      </c>
      <c r="H214" s="15">
        <f>VLOOKUP(F214,'Counting Free'!$B:$F,4,0)</f>
        <v>0</v>
      </c>
      <c r="I214" s="14">
        <f>VLOOKUP(F214,'Counting Kontrak'!B:E,4,0)</f>
        <v>0</v>
      </c>
      <c r="J214" s="5" t="str">
        <f ca="1">VLOOKUP(F214,'Data Garansi'!$E:$I,5,0)</f>
        <v>Tidak</v>
      </c>
      <c r="K214" s="6">
        <f>VLOOKUP(F214,'Tgl MC Free'!B:M,8,0)</f>
        <v>360</v>
      </c>
      <c r="L214" s="6">
        <f>VLOOKUP(F214,'Tgl Maintenance untuk Kontrak'!$D:$M,10,0)</f>
        <v>46270</v>
      </c>
      <c r="M214" s="5" t="str">
        <f>TEXT(L214,"mmm")</f>
        <v>Sep</v>
      </c>
    </row>
    <row r="215" spans="1:13" x14ac:dyDescent="0.3">
      <c r="A215" s="5">
        <v>213</v>
      </c>
      <c r="B215" s="5" t="s">
        <v>341</v>
      </c>
      <c r="C215" s="5" t="s">
        <v>341</v>
      </c>
      <c r="D215" s="6">
        <v>45407</v>
      </c>
      <c r="E215" s="6"/>
      <c r="F215" s="8" t="s">
        <v>170</v>
      </c>
      <c r="G215" s="8" t="s">
        <v>615</v>
      </c>
      <c r="H215" s="15">
        <f>VLOOKUP(F215,'Counting Free'!$B:$F,4,0)</f>
        <v>0</v>
      </c>
      <c r="I215" s="14">
        <f>VLOOKUP(F215,'Counting Kontrak'!B:E,4,0)</f>
        <v>0</v>
      </c>
      <c r="J215" s="5" t="str">
        <f ca="1">VLOOKUP(F215,'Data Garansi'!$E:$I,5,0)</f>
        <v>Tidak</v>
      </c>
      <c r="K215" s="6">
        <f>VLOOKUP(F215,'Tgl MC Free'!B:M,8,0)</f>
        <v>360</v>
      </c>
      <c r="L215" s="6">
        <f>VLOOKUP(F215,'Tgl Maintenance untuk Kontrak'!$D:$M,10,0)</f>
        <v>0</v>
      </c>
    </row>
    <row r="216" spans="1:13" x14ac:dyDescent="0.3">
      <c r="A216" s="5">
        <v>214</v>
      </c>
      <c r="B216" s="5" t="s">
        <v>341</v>
      </c>
      <c r="C216" s="5" t="s">
        <v>341</v>
      </c>
      <c r="D216" s="6">
        <v>45415</v>
      </c>
      <c r="E216" s="6" t="str">
        <f>TEXT(L216,"mmm")</f>
        <v>May</v>
      </c>
      <c r="F216" s="8" t="s">
        <v>429</v>
      </c>
      <c r="G216" s="8" t="s">
        <v>613</v>
      </c>
      <c r="H216" s="15">
        <f>VLOOKUP(F216,'Counting Free'!$B:$F,4,0)</f>
        <v>0</v>
      </c>
      <c r="I216" s="14">
        <f>VLOOKUP(F216,'Counting Kontrak'!B:E,4,0)</f>
        <v>0</v>
      </c>
      <c r="J216" s="5" t="str">
        <f ca="1">VLOOKUP(F216,'Data Garansi'!$E:$I,5,0)</f>
        <v>Tidak</v>
      </c>
      <c r="K216" s="6">
        <f>VLOOKUP(F216,'Tgl MC Free'!B:M,8,0)</f>
        <v>360</v>
      </c>
      <c r="L216" s="6">
        <f>VLOOKUP(F216,'Tgl Maintenance untuk Kontrak'!$D:$M,10,0)</f>
        <v>45807</v>
      </c>
      <c r="M216" s="5" t="str">
        <f>TEXT(L216,"mmm")</f>
        <v>May</v>
      </c>
    </row>
    <row r="217" spans="1:13" x14ac:dyDescent="0.3">
      <c r="A217" s="5">
        <v>215</v>
      </c>
      <c r="B217" s="5" t="s">
        <v>341</v>
      </c>
      <c r="C217" s="5" t="s">
        <v>341</v>
      </c>
      <c r="D217" s="6">
        <v>45415</v>
      </c>
      <c r="E217" s="6" t="str">
        <f>TEXT(L217,"mmm")</f>
        <v>May</v>
      </c>
      <c r="F217" s="8" t="s">
        <v>430</v>
      </c>
      <c r="G217" s="8" t="s">
        <v>613</v>
      </c>
      <c r="H217" s="15">
        <f>VLOOKUP(F217,'Counting Free'!$B:$F,4,0)</f>
        <v>0</v>
      </c>
      <c r="I217" s="14">
        <f>VLOOKUP(F217,'Counting Kontrak'!B:E,4,0)</f>
        <v>0</v>
      </c>
      <c r="J217" s="5" t="str">
        <f ca="1">VLOOKUP(F217,'Data Garansi'!$E:$I,5,0)</f>
        <v>Tidak</v>
      </c>
      <c r="K217" s="6">
        <f>VLOOKUP(F217,'Tgl MC Free'!B:M,8,0)</f>
        <v>360</v>
      </c>
      <c r="L217" s="6">
        <f>VLOOKUP(F217,'Tgl Maintenance untuk Kontrak'!$D:$M,10,0)</f>
        <v>45807</v>
      </c>
      <c r="M217" s="5" t="str">
        <f>TEXT(L217,"mmm")</f>
        <v>May</v>
      </c>
    </row>
    <row r="218" spans="1:13" x14ac:dyDescent="0.3">
      <c r="A218" s="5">
        <v>216</v>
      </c>
      <c r="B218" s="5" t="s">
        <v>368</v>
      </c>
      <c r="C218" s="5">
        <v>230304</v>
      </c>
      <c r="D218" s="6">
        <v>45418</v>
      </c>
      <c r="E218" s="6"/>
      <c r="F218" s="8" t="s">
        <v>431</v>
      </c>
      <c r="G218" s="8" t="s">
        <v>623</v>
      </c>
      <c r="H218" s="15">
        <f>VLOOKUP(F218,'Counting Free'!$B:$F,4,0)</f>
        <v>0</v>
      </c>
      <c r="I218" s="14">
        <f>VLOOKUP(F218,'Counting Kontrak'!B:E,4,0)</f>
        <v>0</v>
      </c>
      <c r="J218" s="5" t="str">
        <f ca="1">VLOOKUP(F218,'Data Garansi'!$E:$I,5,0)</f>
        <v>Tidak</v>
      </c>
      <c r="K218" s="6">
        <f>VLOOKUP(F218,'Tgl MC Free'!B:M,8,0)</f>
        <v>360</v>
      </c>
      <c r="L218" s="6">
        <f>VLOOKUP(F218,'Tgl Maintenance untuk Kontrak'!$D:$M,10,0)</f>
        <v>0</v>
      </c>
    </row>
    <row r="219" spans="1:13" x14ac:dyDescent="0.3">
      <c r="A219" s="5">
        <v>217</v>
      </c>
      <c r="B219" s="5" t="s">
        <v>341</v>
      </c>
      <c r="C219" s="5" t="s">
        <v>341</v>
      </c>
      <c r="D219" s="6">
        <v>45420</v>
      </c>
      <c r="E219" s="6" t="str">
        <f>TEXT(L219,"mmm")</f>
        <v>Feb</v>
      </c>
      <c r="F219" s="8" t="s">
        <v>432</v>
      </c>
      <c r="G219" s="8" t="s">
        <v>627</v>
      </c>
      <c r="H219" s="15">
        <f>VLOOKUP(F219,'Counting Free'!$B:$F,4,0)</f>
        <v>0</v>
      </c>
      <c r="I219" s="14">
        <f>VLOOKUP(F219,'Counting Kontrak'!B:E,4,0)</f>
        <v>0</v>
      </c>
      <c r="J219" s="5" t="str">
        <f ca="1">VLOOKUP(F219,'Data Garansi'!$E:$I,5,0)</f>
        <v>Tidak</v>
      </c>
      <c r="K219" s="6">
        <f>VLOOKUP(F219,'Tgl MC Free'!B:M,8,0)</f>
        <v>360</v>
      </c>
      <c r="L219" s="6">
        <f>VLOOKUP(F219,'Tgl Maintenance untuk Kontrak'!$D:$M,10,0)</f>
        <v>46067</v>
      </c>
      <c r="M219" s="5" t="str">
        <f>TEXT(L219,"mmm")</f>
        <v>Feb</v>
      </c>
    </row>
    <row r="220" spans="1:13" x14ac:dyDescent="0.3">
      <c r="A220" s="5">
        <v>218</v>
      </c>
      <c r="B220" s="5" t="s">
        <v>341</v>
      </c>
      <c r="C220" s="5" t="s">
        <v>341</v>
      </c>
      <c r="D220" s="6">
        <v>45421</v>
      </c>
      <c r="E220" s="6"/>
      <c r="F220" s="8" t="s">
        <v>433</v>
      </c>
      <c r="G220" s="8" t="s">
        <v>619</v>
      </c>
      <c r="H220" s="15">
        <f>VLOOKUP(F220,'Counting Free'!$B:$F,4,0)</f>
        <v>0</v>
      </c>
      <c r="I220" s="14">
        <f>VLOOKUP(F220,'Counting Kontrak'!B:E,4,0)</f>
        <v>0</v>
      </c>
      <c r="J220" s="5" t="str">
        <f ca="1">VLOOKUP(F220,'Data Garansi'!$E:$I,5,0)</f>
        <v>Tidak</v>
      </c>
      <c r="K220" s="6">
        <f>VLOOKUP(F220,'Tgl MC Free'!B:M,8,0)</f>
        <v>360</v>
      </c>
      <c r="L220" s="6">
        <f>VLOOKUP(F220,'Tgl Maintenance untuk Kontrak'!$D:$M,10,0)</f>
        <v>0</v>
      </c>
    </row>
    <row r="221" spans="1:13" x14ac:dyDescent="0.3">
      <c r="A221" s="5">
        <v>219</v>
      </c>
      <c r="B221" s="5" t="s">
        <v>361</v>
      </c>
      <c r="C221" s="5" t="s">
        <v>536</v>
      </c>
      <c r="D221" s="6">
        <v>45427</v>
      </c>
      <c r="E221" s="6" t="str">
        <f>TEXT(L221,"mmm")</f>
        <v>Feb</v>
      </c>
      <c r="F221" s="8" t="s">
        <v>434</v>
      </c>
      <c r="G221" s="8" t="s">
        <v>628</v>
      </c>
      <c r="H221" s="15">
        <f>VLOOKUP(F221,'Counting Free'!$B:$F,4,0)</f>
        <v>0</v>
      </c>
      <c r="I221" s="14">
        <f>VLOOKUP(F221,'Counting Kontrak'!B:E,4,0)</f>
        <v>0</v>
      </c>
      <c r="J221" s="5" t="str">
        <f ca="1">VLOOKUP(F221,'Data Garansi'!$E:$I,5,0)</f>
        <v>Tidak</v>
      </c>
      <c r="K221" s="6">
        <f>VLOOKUP(F221,'Tgl MC Free'!B:M,8,0)</f>
        <v>360</v>
      </c>
      <c r="L221" s="6">
        <f>VLOOKUP(F221,'Tgl Maintenance untuk Kontrak'!$D:$M,10,0)</f>
        <v>46080</v>
      </c>
      <c r="M221" s="5" t="str">
        <f>TEXT(L221,"mmm")</f>
        <v>Feb</v>
      </c>
    </row>
    <row r="222" spans="1:13" x14ac:dyDescent="0.3">
      <c r="A222" s="5">
        <v>220</v>
      </c>
      <c r="B222" s="5" t="s">
        <v>388</v>
      </c>
      <c r="C222" s="5" t="s">
        <v>537</v>
      </c>
      <c r="D222" s="6">
        <v>45427</v>
      </c>
      <c r="E222" s="6"/>
      <c r="F222" s="8" t="s">
        <v>435</v>
      </c>
      <c r="G222" s="8" t="s">
        <v>650</v>
      </c>
      <c r="H222" s="15">
        <f>VLOOKUP(F222,'Counting Free'!$B:$F,4,0)</f>
        <v>0</v>
      </c>
      <c r="I222" s="14">
        <f>VLOOKUP(F222,'Counting Kontrak'!B:E,4,0)</f>
        <v>0</v>
      </c>
      <c r="J222" s="5" t="str">
        <f ca="1">VLOOKUP(F222,'Data Garansi'!$E:$I,5,0)</f>
        <v>Tidak</v>
      </c>
      <c r="K222" s="6">
        <f>VLOOKUP(F222,'Tgl MC Free'!B:M,8,0)</f>
        <v>360</v>
      </c>
      <c r="L222" s="6">
        <f>VLOOKUP(F222,'Tgl Maintenance untuk Kontrak'!$D:$M,10,0)</f>
        <v>0</v>
      </c>
    </row>
    <row r="223" spans="1:13" x14ac:dyDescent="0.3">
      <c r="A223" s="5">
        <v>221</v>
      </c>
      <c r="B223" s="5" t="s">
        <v>368</v>
      </c>
      <c r="C223" s="5">
        <v>2023816</v>
      </c>
      <c r="D223" s="6">
        <v>45429</v>
      </c>
      <c r="E223" s="6" t="str">
        <f>TEXT(L223,"mmm")</f>
        <v>Apr</v>
      </c>
      <c r="F223" s="8" t="s">
        <v>436</v>
      </c>
      <c r="G223" s="8" t="s">
        <v>618</v>
      </c>
      <c r="H223" s="15">
        <f>VLOOKUP(F223,'Counting Free'!$B:$F,4,0)</f>
        <v>0</v>
      </c>
      <c r="I223" s="14">
        <f>VLOOKUP(F223,'Counting Kontrak'!B:E,4,0)</f>
        <v>0</v>
      </c>
      <c r="J223" s="5" t="str">
        <f ca="1">VLOOKUP(F223,'Data Garansi'!$E:$I,5,0)</f>
        <v>Tidak</v>
      </c>
      <c r="K223" s="6">
        <f>VLOOKUP(F223,'Tgl MC Free'!B:M,8,0)</f>
        <v>360</v>
      </c>
      <c r="L223" s="6">
        <f>VLOOKUP(F223,'Tgl Maintenance untuk Kontrak'!$D:$M,10,0)</f>
        <v>46126</v>
      </c>
      <c r="M223" s="5" t="str">
        <f>TEXT(L223,"mmm")</f>
        <v>Apr</v>
      </c>
    </row>
    <row r="224" spans="1:13" x14ac:dyDescent="0.3">
      <c r="A224" s="5">
        <v>222</v>
      </c>
      <c r="B224" s="5" t="s">
        <v>361</v>
      </c>
      <c r="C224" s="5" t="s">
        <v>538</v>
      </c>
      <c r="D224" s="6">
        <v>45433</v>
      </c>
      <c r="E224" s="6" t="str">
        <f>TEXT(L224,"mmm")</f>
        <v>Oct</v>
      </c>
      <c r="F224" s="8" t="s">
        <v>437</v>
      </c>
      <c r="G224" s="8" t="s">
        <v>627</v>
      </c>
      <c r="H224" s="15">
        <f>VLOOKUP(F224,'Counting Free'!$B:$F,4,0)</f>
        <v>0</v>
      </c>
      <c r="I224" s="14">
        <f>VLOOKUP(F224,'Counting Kontrak'!B:E,4,0)</f>
        <v>0</v>
      </c>
      <c r="J224" s="5" t="str">
        <f ca="1">VLOOKUP(F224,'Data Garansi'!$E:$I,5,0)</f>
        <v>Tidak</v>
      </c>
      <c r="K224" s="6">
        <f>VLOOKUP(F224,'Tgl MC Free'!B:M,8,0)</f>
        <v>360</v>
      </c>
      <c r="L224" s="6">
        <f>VLOOKUP(F224,'Tgl Maintenance untuk Kontrak'!$D:$M,10,0)</f>
        <v>45959</v>
      </c>
      <c r="M224" s="5" t="str">
        <f>TEXT(L224,"mmm")</f>
        <v>Oct</v>
      </c>
    </row>
    <row r="225" spans="1:13" x14ac:dyDescent="0.3">
      <c r="A225" s="5">
        <v>223</v>
      </c>
      <c r="B225" s="5" t="s">
        <v>341</v>
      </c>
      <c r="C225" s="5" t="s">
        <v>341</v>
      </c>
      <c r="D225" s="6">
        <v>45437</v>
      </c>
      <c r="E225" s="6" t="str">
        <f>TEXT(L225,"mmm")</f>
        <v>Jul</v>
      </c>
      <c r="F225" s="8" t="s">
        <v>438</v>
      </c>
      <c r="G225" s="8" t="s">
        <v>611</v>
      </c>
      <c r="H225" s="15">
        <f>VLOOKUP(F225,'Counting Free'!$B:$F,4,0)</f>
        <v>0</v>
      </c>
      <c r="I225" s="14">
        <f>VLOOKUP(F225,'Counting Kontrak'!B:E,4,0)</f>
        <v>0</v>
      </c>
      <c r="J225" s="5" t="str">
        <f ca="1">VLOOKUP(F225,'Data Garansi'!$E:$I,5,0)</f>
        <v>Tidak</v>
      </c>
      <c r="K225" s="6">
        <f>VLOOKUP(F225,'Tgl MC Free'!B:M,8,0)</f>
        <v>360</v>
      </c>
      <c r="L225" s="6">
        <f>VLOOKUP(F225,'Tgl Maintenance untuk Kontrak'!$D:$M,10,0)</f>
        <v>46216</v>
      </c>
      <c r="M225" s="5" t="str">
        <f>TEXT(L225,"mmm")</f>
        <v>Jul</v>
      </c>
    </row>
    <row r="226" spans="1:13" x14ac:dyDescent="0.3">
      <c r="A226" s="5">
        <v>224</v>
      </c>
      <c r="B226" s="5" t="s">
        <v>368</v>
      </c>
      <c r="C226" s="5">
        <v>230811</v>
      </c>
      <c r="D226" s="6">
        <v>45454</v>
      </c>
      <c r="E226" s="6"/>
      <c r="F226" s="8" t="s">
        <v>439</v>
      </c>
      <c r="G226" s="8" t="s">
        <v>627</v>
      </c>
      <c r="H226" s="15">
        <f>VLOOKUP(F226,'Counting Free'!$B:$F,4,0)</f>
        <v>0</v>
      </c>
      <c r="I226" s="14">
        <f>VLOOKUP(F226,'Counting Kontrak'!B:E,4,0)</f>
        <v>0</v>
      </c>
      <c r="J226" s="5" t="str">
        <f ca="1">VLOOKUP(F226,'Data Garansi'!$E:$I,5,0)</f>
        <v>Tidak</v>
      </c>
      <c r="K226" s="6">
        <f>VLOOKUP(F226,'Tgl MC Free'!B:M,8,0)</f>
        <v>360</v>
      </c>
      <c r="L226" s="6">
        <f>VLOOKUP(F226,'Tgl Maintenance untuk Kontrak'!$D:$M,10,0)</f>
        <v>46032</v>
      </c>
    </row>
    <row r="227" spans="1:13" x14ac:dyDescent="0.3">
      <c r="A227" s="5">
        <v>225</v>
      </c>
      <c r="B227" s="5" t="s">
        <v>389</v>
      </c>
      <c r="C227" s="5" t="s">
        <v>539</v>
      </c>
      <c r="D227" s="6">
        <v>45458</v>
      </c>
      <c r="E227" s="6"/>
      <c r="F227" s="8" t="s">
        <v>440</v>
      </c>
      <c r="G227" s="8" t="s">
        <v>651</v>
      </c>
      <c r="H227" s="15">
        <f>VLOOKUP(F227,'Counting Free'!$B:$F,4,0)</f>
        <v>0</v>
      </c>
      <c r="I227" s="14">
        <f>VLOOKUP(F227,'Counting Kontrak'!B:E,4,0)</f>
        <v>0</v>
      </c>
      <c r="J227" s="5" t="str">
        <f ca="1">VLOOKUP(F227,'Data Garansi'!$E:$I,5,0)</f>
        <v>Tidak</v>
      </c>
      <c r="K227" s="6">
        <f>VLOOKUP(F227,'Tgl MC Free'!B:M,8,0)</f>
        <v>360</v>
      </c>
      <c r="L227" s="6">
        <f>VLOOKUP(F227,'Tgl Maintenance untuk Kontrak'!$D:$M,10,0)</f>
        <v>46199</v>
      </c>
    </row>
    <row r="228" spans="1:13" x14ac:dyDescent="0.3">
      <c r="A228" s="5">
        <v>226</v>
      </c>
      <c r="B228" s="5" t="s">
        <v>389</v>
      </c>
      <c r="C228" s="5" t="s">
        <v>540</v>
      </c>
      <c r="D228" s="6">
        <v>45458</v>
      </c>
      <c r="E228" s="6" t="str">
        <f>TEXT(L228,"mmm")</f>
        <v>Apr</v>
      </c>
      <c r="F228" s="8" t="s">
        <v>441</v>
      </c>
      <c r="G228" s="8" t="s">
        <v>615</v>
      </c>
      <c r="H228" s="15">
        <f>VLOOKUP(F228,'Counting Free'!$B:$F,4,0)</f>
        <v>0</v>
      </c>
      <c r="I228" s="14">
        <f>VLOOKUP(F228,'Counting Kontrak'!B:E,4,0)</f>
        <v>0</v>
      </c>
      <c r="J228" s="5" t="str">
        <f ca="1">VLOOKUP(F228,'Data Garansi'!$E:$I,5,0)</f>
        <v>Tidak</v>
      </c>
      <c r="K228" s="6">
        <f>VLOOKUP(F228,'Tgl MC Free'!B:M,8,0)</f>
        <v>360</v>
      </c>
      <c r="L228" s="6">
        <f>VLOOKUP(F228,'Tgl Maintenance untuk Kontrak'!$D:$M,10,0)</f>
        <v>46125</v>
      </c>
      <c r="M228" s="5" t="str">
        <f>TEXT(L228,"mmm")</f>
        <v>Apr</v>
      </c>
    </row>
    <row r="229" spans="1:13" x14ac:dyDescent="0.3">
      <c r="A229" s="5">
        <v>227</v>
      </c>
      <c r="B229" s="5" t="s">
        <v>368</v>
      </c>
      <c r="C229" s="5">
        <v>230718</v>
      </c>
      <c r="D229" s="6">
        <v>45465</v>
      </c>
      <c r="E229" s="6"/>
      <c r="F229" s="8" t="s">
        <v>442</v>
      </c>
      <c r="G229" s="8" t="s">
        <v>608</v>
      </c>
      <c r="H229" s="15">
        <f>VLOOKUP(F229,'Counting Free'!$B:$F,4,0)</f>
        <v>0</v>
      </c>
      <c r="I229" s="14">
        <f>VLOOKUP(F229,'Counting Kontrak'!B:E,4,0)</f>
        <v>0</v>
      </c>
      <c r="J229" s="5" t="str">
        <f ca="1">VLOOKUP(F229,'Data Garansi'!$E:$I,5,0)</f>
        <v>Tidak</v>
      </c>
      <c r="K229" s="6">
        <f>VLOOKUP(F229,'Tgl MC Free'!B:M,8,0)</f>
        <v>360</v>
      </c>
      <c r="L229" s="6">
        <f>VLOOKUP(F229,'Tgl Maintenance untuk Kontrak'!$D:$M,10,0)</f>
        <v>0</v>
      </c>
    </row>
    <row r="230" spans="1:13" x14ac:dyDescent="0.3">
      <c r="A230" s="5">
        <v>228</v>
      </c>
      <c r="B230" s="5" t="s">
        <v>361</v>
      </c>
      <c r="C230" s="5" t="s">
        <v>541</v>
      </c>
      <c r="D230" s="6">
        <v>45468</v>
      </c>
      <c r="E230" s="6" t="str">
        <f>TEXT(L230,"mmm")</f>
        <v>May</v>
      </c>
      <c r="F230" s="8" t="s">
        <v>443</v>
      </c>
      <c r="G230" s="8" t="s">
        <v>641</v>
      </c>
      <c r="H230" s="15">
        <f>VLOOKUP(F230,'Counting Free'!$B:$F,4,0)</f>
        <v>0</v>
      </c>
      <c r="I230" s="14">
        <f>VLOOKUP(F230,'Counting Kontrak'!B:E,4,0)</f>
        <v>0</v>
      </c>
      <c r="J230" s="5" t="str">
        <f ca="1">VLOOKUP(F230,'Data Garansi'!$E:$I,5,0)</f>
        <v>Tidak</v>
      </c>
      <c r="K230" s="6">
        <f>VLOOKUP(F230,'Tgl MC Free'!B:M,8,0)</f>
        <v>360</v>
      </c>
      <c r="L230" s="6">
        <f>VLOOKUP(F230,'Tgl Maintenance untuk Kontrak'!$D:$M,10,0)</f>
        <v>45785</v>
      </c>
      <c r="M230" s="5" t="str">
        <f>TEXT(L230,"mmm")</f>
        <v>May</v>
      </c>
    </row>
    <row r="231" spans="1:13" x14ac:dyDescent="0.3">
      <c r="A231" s="5">
        <v>229</v>
      </c>
      <c r="B231" s="5" t="s">
        <v>368</v>
      </c>
      <c r="C231" s="5">
        <v>240137</v>
      </c>
      <c r="D231" s="6">
        <v>45475</v>
      </c>
      <c r="E231" s="6" t="str">
        <f>TEXT(L231,"mmm")</f>
        <v>Dec</v>
      </c>
      <c r="F231" s="8" t="s">
        <v>444</v>
      </c>
      <c r="G231" s="8" t="s">
        <v>608</v>
      </c>
      <c r="H231" s="15">
        <f>VLOOKUP(F231,'Counting Free'!$B:$F,4,0)</f>
        <v>0</v>
      </c>
      <c r="I231" s="14">
        <f>VLOOKUP(F231,'Counting Kontrak'!B:E,4,0)</f>
        <v>0</v>
      </c>
      <c r="J231" s="5" t="str">
        <f ca="1">VLOOKUP(F231,'Data Garansi'!$E:$I,5,0)</f>
        <v>Tidak</v>
      </c>
      <c r="K231" s="6">
        <f>VLOOKUP(F231,'Tgl MC Free'!B:M,8,0)</f>
        <v>360</v>
      </c>
      <c r="L231" s="6">
        <f>VLOOKUP(F231,'Tgl Maintenance untuk Kontrak'!$D:$M,10,0)</f>
        <v>46009</v>
      </c>
      <c r="M231" s="5" t="str">
        <f>TEXT(L231,"mmm")</f>
        <v>Dec</v>
      </c>
    </row>
    <row r="232" spans="1:13" x14ac:dyDescent="0.3">
      <c r="A232" s="5">
        <v>230</v>
      </c>
      <c r="B232" s="5" t="s">
        <v>341</v>
      </c>
      <c r="C232" s="5" t="s">
        <v>341</v>
      </c>
      <c r="D232" s="6">
        <v>45475</v>
      </c>
      <c r="E232" s="6"/>
      <c r="F232" s="8" t="s">
        <v>445</v>
      </c>
      <c r="G232" s="8" t="s">
        <v>652</v>
      </c>
      <c r="H232" s="15">
        <f>VLOOKUP(F232,'Counting Free'!$B:$F,4,0)</f>
        <v>0</v>
      </c>
      <c r="I232" s="14">
        <f>VLOOKUP(F232,'Counting Kontrak'!B:E,4,0)</f>
        <v>0</v>
      </c>
      <c r="J232" s="5" t="str">
        <f ca="1">VLOOKUP(F232,'Data Garansi'!$E:$I,5,0)</f>
        <v>Tidak</v>
      </c>
      <c r="K232" s="6">
        <f>VLOOKUP(F232,'Tgl MC Free'!B:M,8,0)</f>
        <v>360</v>
      </c>
      <c r="L232" s="6">
        <f>VLOOKUP(F232,'Tgl Maintenance untuk Kontrak'!$D:$M,10,0)</f>
        <v>0</v>
      </c>
    </row>
    <row r="233" spans="1:13" x14ac:dyDescent="0.3">
      <c r="A233" s="5">
        <v>231</v>
      </c>
      <c r="B233" s="5" t="s">
        <v>364</v>
      </c>
      <c r="C233" s="5">
        <v>230723</v>
      </c>
      <c r="D233" s="6">
        <v>45483</v>
      </c>
      <c r="E233" s="6"/>
      <c r="F233" s="8" t="s">
        <v>165</v>
      </c>
      <c r="G233" s="8" t="s">
        <v>610</v>
      </c>
      <c r="H233" s="15">
        <f>VLOOKUP(F233,'Counting Free'!$B:$F,4,0)</f>
        <v>0</v>
      </c>
      <c r="I233" s="14">
        <f>VLOOKUP(F233,'Counting Kontrak'!B:E,4,0)</f>
        <v>0</v>
      </c>
      <c r="J233" s="5" t="str">
        <f ca="1">VLOOKUP(F233,'Data Garansi'!$E:$I,5,0)</f>
        <v>Tidak</v>
      </c>
      <c r="K233" s="6">
        <f>VLOOKUP(F233,'Tgl MC Free'!B:M,8,0)</f>
        <v>360</v>
      </c>
      <c r="L233" s="6">
        <f>VLOOKUP(F233,'Tgl Maintenance untuk Kontrak'!$D:$M,10,0)</f>
        <v>46058</v>
      </c>
    </row>
    <row r="234" spans="1:13" x14ac:dyDescent="0.3">
      <c r="A234" s="5">
        <v>232</v>
      </c>
      <c r="B234" s="5" t="s">
        <v>361</v>
      </c>
      <c r="C234" s="5" t="s">
        <v>542</v>
      </c>
      <c r="D234" s="6">
        <v>45483</v>
      </c>
      <c r="E234" s="6" t="str">
        <f>TEXT(L234,"mmm")</f>
        <v>Sep</v>
      </c>
      <c r="F234" s="8" t="s">
        <v>446</v>
      </c>
      <c r="G234" s="8" t="s">
        <v>632</v>
      </c>
      <c r="H234" s="15">
        <f>VLOOKUP(F234,'Counting Free'!$B:$F,4,0)</f>
        <v>0</v>
      </c>
      <c r="I234" s="14">
        <f>VLOOKUP(F234,'Counting Kontrak'!B:E,4,0)</f>
        <v>0</v>
      </c>
      <c r="J234" s="5" t="str">
        <f ca="1">VLOOKUP(F234,'Data Garansi'!$E:$I,5,0)</f>
        <v>Tidak</v>
      </c>
      <c r="K234" s="6">
        <f>VLOOKUP(F234,'Tgl MC Free'!B:M,8,0)</f>
        <v>360</v>
      </c>
      <c r="L234" s="6">
        <f>VLOOKUP(F234,'Tgl Maintenance untuk Kontrak'!$D:$M,10,0)</f>
        <v>46267</v>
      </c>
      <c r="M234" s="5" t="str">
        <f>TEXT(L234,"mmm")</f>
        <v>Sep</v>
      </c>
    </row>
    <row r="235" spans="1:13" x14ac:dyDescent="0.3">
      <c r="A235" s="5">
        <v>233</v>
      </c>
      <c r="B235" s="5" t="s">
        <v>389</v>
      </c>
      <c r="C235" s="5" t="s">
        <v>543</v>
      </c>
      <c r="D235" s="6">
        <v>45483</v>
      </c>
      <c r="E235" s="6" t="str">
        <f>TEXT(L235,"mmm")</f>
        <v>May</v>
      </c>
      <c r="F235" s="8" t="s">
        <v>447</v>
      </c>
      <c r="G235" s="8" t="s">
        <v>627</v>
      </c>
      <c r="H235" s="15">
        <f>VLOOKUP(F235,'Counting Free'!$B:$F,4,0)</f>
        <v>0</v>
      </c>
      <c r="I235" s="14">
        <f>VLOOKUP(F235,'Counting Kontrak'!B:E,4,0)</f>
        <v>0</v>
      </c>
      <c r="J235" s="5" t="str">
        <f ca="1">VLOOKUP(F235,'Data Garansi'!$E:$I,5,0)</f>
        <v>Tidak</v>
      </c>
      <c r="K235" s="6">
        <f>VLOOKUP(F235,'Tgl MC Free'!B:M,8,0)</f>
        <v>360</v>
      </c>
      <c r="L235" s="6">
        <f>VLOOKUP(F235,'Tgl Maintenance untuk Kontrak'!$D:$M,10,0)</f>
        <v>46146</v>
      </c>
      <c r="M235" s="5" t="str">
        <f>TEXT(L235,"mmm")</f>
        <v>May</v>
      </c>
    </row>
    <row r="236" spans="1:13" x14ac:dyDescent="0.3">
      <c r="A236" s="5">
        <v>234</v>
      </c>
      <c r="B236" s="5" t="s">
        <v>367</v>
      </c>
      <c r="C236" s="5">
        <v>230613</v>
      </c>
      <c r="D236" s="6">
        <v>45489</v>
      </c>
      <c r="E236" s="6"/>
      <c r="F236" s="8" t="s">
        <v>448</v>
      </c>
      <c r="G236" s="8" t="s">
        <v>617</v>
      </c>
      <c r="H236" s="15">
        <f>VLOOKUP(F236,'Counting Free'!$B:$F,4,0)</f>
        <v>0</v>
      </c>
      <c r="I236" s="14">
        <f>VLOOKUP(F236,'Counting Kontrak'!B:E,4,0)</f>
        <v>0</v>
      </c>
      <c r="J236" s="5" t="str">
        <f ca="1">VLOOKUP(F236,'Data Garansi'!$E:$I,5,0)</f>
        <v>Tidak</v>
      </c>
      <c r="K236" s="6">
        <f>VLOOKUP(F236,'Tgl MC Free'!B:M,8,0)</f>
        <v>360</v>
      </c>
      <c r="L236" s="6">
        <f>VLOOKUP(F236,'Tgl Maintenance untuk Kontrak'!$D:$M,10,0)</f>
        <v>46185</v>
      </c>
    </row>
    <row r="237" spans="1:13" x14ac:dyDescent="0.3">
      <c r="A237" s="5">
        <v>235</v>
      </c>
      <c r="B237" s="5" t="s">
        <v>368</v>
      </c>
      <c r="C237" s="5">
        <v>230615</v>
      </c>
      <c r="D237" s="6">
        <v>45489</v>
      </c>
      <c r="E237" s="6"/>
      <c r="F237" s="8" t="s">
        <v>449</v>
      </c>
      <c r="G237" s="8" t="s">
        <v>634</v>
      </c>
      <c r="H237" s="15">
        <f>VLOOKUP(F237,'Counting Free'!$B:$F,4,0)</f>
        <v>0</v>
      </c>
      <c r="I237" s="14">
        <f>VLOOKUP(F237,'Counting Kontrak'!B:E,4,0)</f>
        <v>0</v>
      </c>
      <c r="J237" s="5" t="str">
        <f ca="1">VLOOKUP(F237,'Data Garansi'!$E:$I,5,0)</f>
        <v>Tidak</v>
      </c>
      <c r="K237" s="6">
        <f>VLOOKUP(F237,'Tgl MC Free'!B:M,8,0)</f>
        <v>360</v>
      </c>
      <c r="L237" s="6">
        <f>VLOOKUP(F237,'Tgl Maintenance untuk Kontrak'!$D:$M,10,0)</f>
        <v>46039</v>
      </c>
    </row>
    <row r="238" spans="1:13" x14ac:dyDescent="0.3">
      <c r="A238" s="5">
        <v>236</v>
      </c>
      <c r="B238" s="5" t="s">
        <v>531</v>
      </c>
      <c r="C238" s="5">
        <v>230594</v>
      </c>
      <c r="D238" s="6">
        <v>45490</v>
      </c>
      <c r="E238" s="6"/>
      <c r="F238" s="8" t="s">
        <v>450</v>
      </c>
      <c r="G238" s="8" t="s">
        <v>632</v>
      </c>
      <c r="H238" s="15">
        <f>VLOOKUP(F238,'Counting Free'!$B:$F,4,0)</f>
        <v>0</v>
      </c>
      <c r="I238" s="14">
        <f>VLOOKUP(F238,'Counting Kontrak'!B:E,4,0)</f>
        <v>0</v>
      </c>
      <c r="J238" s="5" t="str">
        <f ca="1">VLOOKUP(F238,'Data Garansi'!$E:$I,5,0)</f>
        <v>Tidak</v>
      </c>
      <c r="K238" s="6">
        <f>VLOOKUP(F238,'Tgl MC Free'!B:M,8,0)</f>
        <v>360</v>
      </c>
      <c r="L238" s="6">
        <f>VLOOKUP(F238,'Tgl Maintenance untuk Kontrak'!$D:$M,10,0)</f>
        <v>45967</v>
      </c>
    </row>
    <row r="239" spans="1:13" x14ac:dyDescent="0.3">
      <c r="A239" s="5">
        <v>237</v>
      </c>
      <c r="B239" s="5" t="s">
        <v>388</v>
      </c>
      <c r="C239" s="5" t="s">
        <v>544</v>
      </c>
      <c r="D239" s="6">
        <v>45492</v>
      </c>
      <c r="E239" s="6" t="str">
        <f>TEXT(L239,"mmm")</f>
        <v>May</v>
      </c>
      <c r="F239" s="8" t="s">
        <v>451</v>
      </c>
      <c r="G239" s="8" t="s">
        <v>627</v>
      </c>
      <c r="H239" s="15">
        <f>VLOOKUP(F239,'Counting Free'!$B:$F,4,0)</f>
        <v>0</v>
      </c>
      <c r="I239" s="14">
        <f>VLOOKUP(F239,'Counting Kontrak'!B:E,4,0)</f>
        <v>0</v>
      </c>
      <c r="J239" s="5" t="str">
        <f ca="1">VLOOKUP(F239,'Data Garansi'!$E:$I,5,0)</f>
        <v>Tidak</v>
      </c>
      <c r="K239" s="6">
        <f>VLOOKUP(F239,'Tgl MC Free'!B:M,8,0)</f>
        <v>360</v>
      </c>
      <c r="L239" s="6">
        <f>VLOOKUP(F239,'Tgl Maintenance untuk Kontrak'!$D:$M,10,0)</f>
        <v>46173</v>
      </c>
      <c r="M239" s="5" t="str">
        <f>TEXT(L239,"mmm")</f>
        <v>May</v>
      </c>
    </row>
    <row r="240" spans="1:13" x14ac:dyDescent="0.3">
      <c r="A240" s="5">
        <v>238</v>
      </c>
      <c r="B240" s="5" t="s">
        <v>368</v>
      </c>
      <c r="C240" s="5">
        <v>230892</v>
      </c>
      <c r="D240" s="6">
        <v>45502</v>
      </c>
      <c r="E240" s="6" t="str">
        <f>TEXT(L240,"mmm")</f>
        <v>Jun</v>
      </c>
      <c r="F240" s="8" t="s">
        <v>452</v>
      </c>
      <c r="G240" s="8" t="s">
        <v>641</v>
      </c>
      <c r="H240" s="15">
        <f>VLOOKUP(F240,'Counting Free'!$B:$F,4,0)</f>
        <v>0</v>
      </c>
      <c r="I240" s="14">
        <f>VLOOKUP(F240,'Counting Kontrak'!B:E,4,0)</f>
        <v>0</v>
      </c>
      <c r="J240" s="5" t="str">
        <f ca="1">VLOOKUP(F240,'Data Garansi'!$E:$I,5,0)</f>
        <v>Tidak</v>
      </c>
      <c r="K240" s="6">
        <f>VLOOKUP(F240,'Tgl MC Free'!B:M,8,0)</f>
        <v>360</v>
      </c>
      <c r="L240" s="6">
        <f>VLOOKUP(F240,'Tgl Maintenance untuk Kontrak'!$D:$M,10,0)</f>
        <v>45836</v>
      </c>
      <c r="M240" s="5" t="str">
        <f>TEXT(L240,"mmm")</f>
        <v>Jun</v>
      </c>
    </row>
    <row r="241" spans="1:13" x14ac:dyDescent="0.3">
      <c r="A241" s="5">
        <v>239</v>
      </c>
      <c r="B241" s="5" t="s">
        <v>388</v>
      </c>
      <c r="C241" s="5" t="s">
        <v>545</v>
      </c>
      <c r="D241" s="6">
        <v>45507</v>
      </c>
      <c r="E241" s="6"/>
      <c r="F241" s="8" t="s">
        <v>453</v>
      </c>
      <c r="G241" s="8" t="s">
        <v>653</v>
      </c>
      <c r="H241" s="15">
        <f>VLOOKUP(F241,'Counting Free'!$B:$F,4,0)</f>
        <v>0</v>
      </c>
      <c r="I241" s="14">
        <f>VLOOKUP(F241,'Counting Kontrak'!B:E,4,0)</f>
        <v>0</v>
      </c>
      <c r="J241" s="5" t="str">
        <f ca="1">VLOOKUP(F241,'Data Garansi'!$E:$I,5,0)</f>
        <v>Tidak</v>
      </c>
      <c r="K241" s="6">
        <f>VLOOKUP(F241,'Tgl MC Free'!B:M,8,0)</f>
        <v>360</v>
      </c>
      <c r="L241" s="6">
        <f>VLOOKUP(F241,'Tgl Maintenance untuk Kontrak'!$D:$M,10,0)</f>
        <v>46214</v>
      </c>
    </row>
    <row r="242" spans="1:13" x14ac:dyDescent="0.3">
      <c r="A242" s="5">
        <v>240</v>
      </c>
      <c r="B242" s="5" t="s">
        <v>389</v>
      </c>
      <c r="C242" s="5" t="s">
        <v>546</v>
      </c>
      <c r="D242" s="6">
        <v>45511</v>
      </c>
      <c r="E242" s="6" t="str">
        <f>TEXT(L242,"mmm")</f>
        <v>Feb</v>
      </c>
      <c r="F242" s="8" t="s">
        <v>454</v>
      </c>
      <c r="G242" s="8" t="s">
        <v>608</v>
      </c>
      <c r="H242" s="15">
        <f>VLOOKUP(F242,'Counting Free'!$B:$F,4,0)</f>
        <v>0</v>
      </c>
      <c r="I242" s="14">
        <f>VLOOKUP(F242,'Counting Kontrak'!B:E,4,0)</f>
        <v>0</v>
      </c>
      <c r="J242" s="5" t="str">
        <f ca="1">VLOOKUP(F242,'Data Garansi'!$E:$I,5,0)</f>
        <v>Tidak</v>
      </c>
      <c r="K242" s="6">
        <f>VLOOKUP(F242,'Tgl MC Free'!B:M,8,0)</f>
        <v>360</v>
      </c>
      <c r="L242" s="6">
        <f>VLOOKUP(F242,'Tgl Maintenance untuk Kontrak'!$D:$M,10,0)</f>
        <v>46081</v>
      </c>
      <c r="M242" s="5" t="str">
        <f>TEXT(L242,"mmm")</f>
        <v>Feb</v>
      </c>
    </row>
    <row r="243" spans="1:13" x14ac:dyDescent="0.3">
      <c r="A243" s="5">
        <v>241</v>
      </c>
      <c r="B243" s="5" t="s">
        <v>363</v>
      </c>
      <c r="C243" s="5">
        <v>230929</v>
      </c>
      <c r="D243" s="6">
        <v>45514</v>
      </c>
      <c r="E243" s="6" t="str">
        <f>TEXT(L243,"mmm")</f>
        <v>Nov</v>
      </c>
      <c r="F243" s="8" t="s">
        <v>455</v>
      </c>
      <c r="G243" s="8" t="s">
        <v>608</v>
      </c>
      <c r="H243" s="15">
        <f>VLOOKUP(F243,'Counting Free'!$B:$F,4,0)</f>
        <v>0</v>
      </c>
      <c r="I243" s="14">
        <f>VLOOKUP(F243,'Counting Kontrak'!B:E,4,0)</f>
        <v>0</v>
      </c>
      <c r="J243" s="5" t="str">
        <f ca="1">VLOOKUP(F243,'Data Garansi'!$E:$I,5,0)</f>
        <v>Tidak</v>
      </c>
      <c r="K243" s="6">
        <f>VLOOKUP(F243,'Tgl MC Free'!B:M,8,0)</f>
        <v>360</v>
      </c>
      <c r="L243" s="6">
        <f>VLOOKUP(F243,'Tgl Maintenance untuk Kontrak'!$D:$M,10,0)</f>
        <v>45979</v>
      </c>
      <c r="M243" s="5" t="str">
        <f>TEXT(L243,"mmm")</f>
        <v>Nov</v>
      </c>
    </row>
    <row r="244" spans="1:13" x14ac:dyDescent="0.3">
      <c r="A244" s="5">
        <v>242</v>
      </c>
      <c r="B244" s="5" t="s">
        <v>368</v>
      </c>
      <c r="C244" s="5">
        <v>240193</v>
      </c>
      <c r="D244" s="6">
        <v>45520</v>
      </c>
      <c r="E244" s="6" t="str">
        <f>TEXT(L244,"mmm")</f>
        <v>Jan</v>
      </c>
      <c r="F244" s="8" t="s">
        <v>200</v>
      </c>
      <c r="G244" s="8" t="s">
        <v>641</v>
      </c>
      <c r="H244" s="15">
        <f>VLOOKUP(F244,'Counting Free'!$B:$F,4,0)</f>
        <v>0</v>
      </c>
      <c r="I244" s="14">
        <f>VLOOKUP(F244,'Counting Kontrak'!B:E,4,0)</f>
        <v>0</v>
      </c>
      <c r="J244" s="5" t="str">
        <f ca="1">VLOOKUP(F244,'Data Garansi'!$E:$I,5,0)</f>
        <v>Tidak</v>
      </c>
      <c r="K244" s="6">
        <f>VLOOKUP(F244,'Tgl MC Free'!B:M,8,0)</f>
        <v>360</v>
      </c>
      <c r="L244" s="6">
        <f>VLOOKUP(F244,'Tgl Maintenance untuk Kontrak'!$D:$M,10,0)</f>
        <v>46036</v>
      </c>
      <c r="M244" s="5" t="str">
        <f>TEXT(L244,"mmm")</f>
        <v>Jan</v>
      </c>
    </row>
    <row r="245" spans="1:13" x14ac:dyDescent="0.3">
      <c r="A245" s="5">
        <v>243</v>
      </c>
      <c r="B245" s="5" t="s">
        <v>341</v>
      </c>
      <c r="C245" s="5" t="s">
        <v>341</v>
      </c>
      <c r="D245" s="6">
        <v>45520</v>
      </c>
      <c r="E245" s="6"/>
      <c r="F245" s="8" t="s">
        <v>456</v>
      </c>
      <c r="G245" s="8" t="s">
        <v>608</v>
      </c>
      <c r="H245" s="15">
        <f>VLOOKUP(F245,'Counting Free'!$B:$F,4,0)</f>
        <v>0</v>
      </c>
      <c r="I245" s="14">
        <f>VLOOKUP(F245,'Counting Kontrak'!B:E,4,0)</f>
        <v>0</v>
      </c>
      <c r="J245" s="5" t="str">
        <f ca="1">VLOOKUP(F245,'Data Garansi'!$E:$I,5,0)</f>
        <v>Tidak</v>
      </c>
      <c r="K245" s="6">
        <f>VLOOKUP(F245,'Tgl MC Free'!B:M,8,0)</f>
        <v>360</v>
      </c>
      <c r="L245" s="6">
        <f>VLOOKUP(F245,'Tgl Maintenance untuk Kontrak'!$D:$M,10,0)</f>
        <v>46072</v>
      </c>
    </row>
    <row r="246" spans="1:13" x14ac:dyDescent="0.3">
      <c r="A246" s="5">
        <v>244</v>
      </c>
      <c r="B246" s="5" t="s">
        <v>368</v>
      </c>
      <c r="C246" s="5">
        <v>240244</v>
      </c>
      <c r="D246" s="6">
        <v>45531</v>
      </c>
      <c r="E246" s="6" t="str">
        <f>TEXT(L246,"mmm")</f>
        <v>Jun</v>
      </c>
      <c r="F246" s="8" t="s">
        <v>457</v>
      </c>
      <c r="G246" s="8" t="s">
        <v>618</v>
      </c>
      <c r="H246" s="15">
        <f>VLOOKUP(F246,'Counting Free'!$B:$F,4,0)</f>
        <v>0</v>
      </c>
      <c r="I246" s="14">
        <f>VLOOKUP(F246,'Counting Kontrak'!B:E,4,0)</f>
        <v>0</v>
      </c>
      <c r="J246" s="5" t="str">
        <f ca="1">VLOOKUP(F246,'Data Garansi'!$E:$I,5,0)</f>
        <v>Tidak</v>
      </c>
      <c r="K246" s="6">
        <f>VLOOKUP(F246,'Tgl MC Free'!B:M,8,0)</f>
        <v>360</v>
      </c>
      <c r="L246" s="6">
        <f>VLOOKUP(F246,'Tgl Maintenance untuk Kontrak'!$D:$M,10,0)</f>
        <v>46176</v>
      </c>
      <c r="M246" s="5" t="str">
        <f>TEXT(L246,"mmm")</f>
        <v>Jun</v>
      </c>
    </row>
    <row r="247" spans="1:13" x14ac:dyDescent="0.3">
      <c r="A247" s="5">
        <v>245</v>
      </c>
      <c r="B247" s="5" t="s">
        <v>368</v>
      </c>
      <c r="C247" s="5">
        <v>230877</v>
      </c>
      <c r="D247" s="6">
        <v>45532</v>
      </c>
      <c r="E247" s="6" t="str">
        <f>TEXT(L247,"mmm")</f>
        <v>Nov</v>
      </c>
      <c r="F247" s="8" t="s">
        <v>458</v>
      </c>
      <c r="G247" s="8" t="s">
        <v>654</v>
      </c>
      <c r="H247" s="15">
        <f>VLOOKUP(F247,'Counting Free'!$B:$F,4,0)</f>
        <v>0</v>
      </c>
      <c r="I247" s="14">
        <f>VLOOKUP(F247,'Counting Kontrak'!B:E,4,0)</f>
        <v>0</v>
      </c>
      <c r="J247" s="5" t="str">
        <f ca="1">VLOOKUP(F247,'Data Garansi'!$E:$I,5,0)</f>
        <v>Tidak</v>
      </c>
      <c r="K247" s="6">
        <f>VLOOKUP(F247,'Tgl MC Free'!B:M,8,0)</f>
        <v>360</v>
      </c>
      <c r="L247" s="6">
        <f>VLOOKUP(F247,'Tgl Maintenance untuk Kontrak'!$D:$M,10,0)</f>
        <v>45990</v>
      </c>
      <c r="M247" s="5" t="str">
        <f>TEXT(L247,"mmm")</f>
        <v>Nov</v>
      </c>
    </row>
    <row r="248" spans="1:13" x14ac:dyDescent="0.3">
      <c r="A248" s="5">
        <v>246</v>
      </c>
      <c r="B248" s="5" t="s">
        <v>388</v>
      </c>
      <c r="C248" s="5" t="s">
        <v>547</v>
      </c>
      <c r="D248" s="6">
        <v>45532</v>
      </c>
      <c r="E248" s="6"/>
      <c r="F248" s="8" t="s">
        <v>459</v>
      </c>
      <c r="G248" s="8" t="s">
        <v>627</v>
      </c>
      <c r="H248" s="15">
        <f>VLOOKUP(F248,'Counting Free'!$B:$F,4,0)</f>
        <v>0</v>
      </c>
      <c r="I248" s="14">
        <f>VLOOKUP(F248,'Counting Kontrak'!B:E,4,0)</f>
        <v>0</v>
      </c>
      <c r="J248" s="5" t="str">
        <f ca="1">VLOOKUP(F248,'Data Garansi'!$E:$I,5,0)</f>
        <v>Tidak</v>
      </c>
      <c r="K248" s="6">
        <f>VLOOKUP(F248,'Tgl MC Free'!B:M,8,0)</f>
        <v>360</v>
      </c>
      <c r="L248" s="6">
        <f>VLOOKUP(F248,'Tgl Maintenance untuk Kontrak'!$D:$M,10,0)</f>
        <v>45989</v>
      </c>
    </row>
    <row r="249" spans="1:13" x14ac:dyDescent="0.3">
      <c r="A249" s="5">
        <v>247</v>
      </c>
      <c r="B249" s="5" t="s">
        <v>389</v>
      </c>
      <c r="C249" s="5" t="s">
        <v>548</v>
      </c>
      <c r="D249" s="6">
        <v>45534</v>
      </c>
      <c r="E249" s="6" t="str">
        <f>TEXT(L249,"mmm")</f>
        <v>Feb</v>
      </c>
      <c r="F249" s="8" t="s">
        <v>460</v>
      </c>
      <c r="G249" s="8" t="s">
        <v>655</v>
      </c>
      <c r="H249" s="15">
        <f>VLOOKUP(F249,'Counting Free'!$B:$F,4,0)</f>
        <v>0</v>
      </c>
      <c r="I249" s="14">
        <f>VLOOKUP(F249,'Counting Kontrak'!B:E,4,0)</f>
        <v>0</v>
      </c>
      <c r="J249" s="5" t="str">
        <f ca="1">VLOOKUP(F249,'Data Garansi'!$E:$I,5,0)</f>
        <v>Tidak</v>
      </c>
      <c r="K249" s="6">
        <f>VLOOKUP(F249,'Tgl MC Free'!B:M,8,0)</f>
        <v>360</v>
      </c>
      <c r="L249" s="6">
        <f>VLOOKUP(F249,'Tgl Maintenance untuk Kontrak'!$D:$M,10,0)</f>
        <v>46070</v>
      </c>
      <c r="M249" s="5" t="str">
        <f>TEXT(L249,"mmm")</f>
        <v>Feb</v>
      </c>
    </row>
    <row r="250" spans="1:13" x14ac:dyDescent="0.3">
      <c r="A250" s="5">
        <v>248</v>
      </c>
      <c r="B250" s="5" t="s">
        <v>341</v>
      </c>
      <c r="C250" s="5" t="s">
        <v>341</v>
      </c>
      <c r="D250" s="6">
        <v>45538</v>
      </c>
      <c r="E250" s="6"/>
      <c r="F250" s="8" t="s">
        <v>461</v>
      </c>
      <c r="G250" s="8" t="s">
        <v>608</v>
      </c>
      <c r="H250" s="15">
        <f>VLOOKUP(F250,'Counting Free'!$B:$F,4,0)</f>
        <v>0</v>
      </c>
      <c r="I250" s="14">
        <f>VLOOKUP(F250,'Counting Kontrak'!B:E,4,0)</f>
        <v>0</v>
      </c>
      <c r="J250" s="5" t="str">
        <f ca="1">VLOOKUP(F250,'Data Garansi'!$E:$I,5,0)</f>
        <v>Tidak</v>
      </c>
      <c r="K250" s="6">
        <f>VLOOKUP(F250,'Tgl MC Free'!B:M,8,0)</f>
        <v>360</v>
      </c>
      <c r="L250" s="6">
        <f>VLOOKUP(F250,'Tgl Maintenance untuk Kontrak'!$D:$M,10,0)</f>
        <v>0</v>
      </c>
    </row>
    <row r="251" spans="1:13" x14ac:dyDescent="0.3">
      <c r="A251" s="5">
        <v>249</v>
      </c>
      <c r="B251" s="5" t="s">
        <v>388</v>
      </c>
      <c r="C251" s="5" t="s">
        <v>549</v>
      </c>
      <c r="D251" s="6">
        <v>45540</v>
      </c>
      <c r="E251" s="6"/>
      <c r="F251" s="8" t="s">
        <v>462</v>
      </c>
      <c r="G251" s="8" t="s">
        <v>625</v>
      </c>
      <c r="H251" s="15">
        <f>VLOOKUP(F251,'Counting Free'!$B:$F,4,0)</f>
        <v>0</v>
      </c>
      <c r="I251" s="14">
        <f>VLOOKUP(F251,'Counting Kontrak'!B:E,4,0)</f>
        <v>0</v>
      </c>
      <c r="J251" s="5" t="str">
        <f ca="1">VLOOKUP(F251,'Data Garansi'!$E:$I,5,0)</f>
        <v>Tidak</v>
      </c>
      <c r="K251" s="6">
        <f>VLOOKUP(F251,'Tgl MC Free'!B:M,8,0)</f>
        <v>360</v>
      </c>
      <c r="L251" s="6">
        <f>VLOOKUP(F251,'Tgl Maintenance untuk Kontrak'!$D:$M,10,0)</f>
        <v>46543</v>
      </c>
    </row>
    <row r="252" spans="1:13" x14ac:dyDescent="0.3">
      <c r="A252" s="5">
        <v>250</v>
      </c>
      <c r="B252" s="5" t="s">
        <v>376</v>
      </c>
      <c r="C252" s="5" t="s">
        <v>550</v>
      </c>
      <c r="D252" s="6">
        <v>45545</v>
      </c>
      <c r="E252" s="6"/>
      <c r="F252" s="8" t="s">
        <v>463</v>
      </c>
      <c r="G252" s="8" t="s">
        <v>608</v>
      </c>
      <c r="H252" s="15">
        <f>VLOOKUP(F252,'Counting Free'!$B:$F,4,0)</f>
        <v>0</v>
      </c>
      <c r="I252" s="14">
        <f>VLOOKUP(F252,'Counting Kontrak'!B:E,4,0)</f>
        <v>0</v>
      </c>
      <c r="J252" s="5" t="str">
        <f ca="1">VLOOKUP(F252,'Data Garansi'!$E:$I,5,0)</f>
        <v>Tidak</v>
      </c>
      <c r="K252" s="6">
        <f>VLOOKUP(F252,'Tgl MC Free'!B:M,8,0)</f>
        <v>360</v>
      </c>
      <c r="L252" s="6">
        <f>VLOOKUP(F252,'Tgl Maintenance untuk Kontrak'!$D:$M,10,0)</f>
        <v>46034</v>
      </c>
    </row>
    <row r="253" spans="1:13" x14ac:dyDescent="0.3">
      <c r="A253" s="5">
        <v>251</v>
      </c>
      <c r="B253" s="5" t="s">
        <v>388</v>
      </c>
      <c r="C253" s="5" t="s">
        <v>551</v>
      </c>
      <c r="D253" s="6">
        <v>45547</v>
      </c>
      <c r="E253" s="6"/>
      <c r="F253" s="8" t="s">
        <v>464</v>
      </c>
      <c r="G253" s="8" t="s">
        <v>608</v>
      </c>
      <c r="H253" s="15">
        <f>VLOOKUP(F253,'Counting Free'!$B:$F,4,0)</f>
        <v>0</v>
      </c>
      <c r="I253" s="14">
        <f>VLOOKUP(F253,'Counting Kontrak'!B:E,4,0)</f>
        <v>0</v>
      </c>
      <c r="J253" s="5" t="str">
        <f ca="1">VLOOKUP(F253,'Data Garansi'!$E:$I,5,0)</f>
        <v>Tidak</v>
      </c>
      <c r="K253" s="6">
        <f>VLOOKUP(F253,'Tgl MC Free'!B:M,8,0)</f>
        <v>360</v>
      </c>
      <c r="L253" s="6">
        <f>VLOOKUP(F253,'Tgl Maintenance untuk Kontrak'!$D:$M,10,0)</f>
        <v>46173</v>
      </c>
    </row>
    <row r="254" spans="1:13" x14ac:dyDescent="0.3">
      <c r="A254" s="5">
        <v>252</v>
      </c>
      <c r="B254" s="5" t="s">
        <v>388</v>
      </c>
      <c r="C254" s="5" t="s">
        <v>552</v>
      </c>
      <c r="D254" s="6">
        <v>45548</v>
      </c>
      <c r="E254" s="6" t="str">
        <f>TEXT(L254,"mmm")</f>
        <v>Jul</v>
      </c>
      <c r="F254" s="8" t="s">
        <v>465</v>
      </c>
      <c r="G254" s="8" t="s">
        <v>627</v>
      </c>
      <c r="H254" s="15">
        <f>VLOOKUP(F254,'Counting Free'!$B:$F,4,0)</f>
        <v>0</v>
      </c>
      <c r="I254" s="14">
        <f>VLOOKUP(F254,'Counting Kontrak'!B:E,4,0)</f>
        <v>0</v>
      </c>
      <c r="J254" s="5" t="str">
        <f ca="1">VLOOKUP(F254,'Data Garansi'!$E:$I,5,0)</f>
        <v>Tidak</v>
      </c>
      <c r="K254" s="6">
        <f>VLOOKUP(F254,'Tgl MC Free'!B:M,8,0)</f>
        <v>360</v>
      </c>
      <c r="L254" s="6">
        <f>VLOOKUP(F254,'Tgl Maintenance untuk Kontrak'!$D:$M,10,0)</f>
        <v>46209</v>
      </c>
      <c r="M254" s="5" t="str">
        <f>TEXT(L254,"mmm")</f>
        <v>Jul</v>
      </c>
    </row>
    <row r="255" spans="1:13" x14ac:dyDescent="0.3">
      <c r="A255" s="5">
        <v>253</v>
      </c>
      <c r="B255" s="5" t="s">
        <v>389</v>
      </c>
      <c r="C255" s="5" t="s">
        <v>553</v>
      </c>
      <c r="D255" s="6">
        <v>45554</v>
      </c>
      <c r="E255" s="6"/>
      <c r="F255" s="8" t="s">
        <v>466</v>
      </c>
      <c r="G255" s="8" t="s">
        <v>610</v>
      </c>
      <c r="H255" s="15">
        <f>VLOOKUP(F255,'Counting Free'!$B:$F,4,0)</f>
        <v>0</v>
      </c>
      <c r="I255" s="14">
        <f>VLOOKUP(F255,'Counting Kontrak'!B:E,4,0)</f>
        <v>0</v>
      </c>
      <c r="J255" s="5" t="str">
        <f ca="1">VLOOKUP(F255,'Data Garansi'!$E:$I,5,0)</f>
        <v>Tidak</v>
      </c>
      <c r="K255" s="6">
        <f>VLOOKUP(F255,'Tgl MC Free'!B:M,8,0)</f>
        <v>360</v>
      </c>
      <c r="L255" s="6">
        <f>VLOOKUP(F255,'Tgl Maintenance untuk Kontrak'!$D:$M,10,0)</f>
        <v>46160</v>
      </c>
    </row>
    <row r="256" spans="1:13" x14ac:dyDescent="0.3">
      <c r="A256" s="5">
        <v>321</v>
      </c>
      <c r="B256" s="5" t="s">
        <v>534</v>
      </c>
      <c r="C256" s="5" t="s">
        <v>597</v>
      </c>
      <c r="D256" s="6">
        <v>45556</v>
      </c>
      <c r="E256" s="6" t="str">
        <f>TEXT(L256,"mmm")</f>
        <v>Jan</v>
      </c>
      <c r="F256" s="8" t="s">
        <v>600</v>
      </c>
      <c r="G256" s="8" t="s">
        <v>654</v>
      </c>
      <c r="H256" s="15">
        <f>VLOOKUP(F256,'Counting Free'!$B:$F,4,0)</f>
        <v>0</v>
      </c>
      <c r="I256" s="14">
        <f>VLOOKUP(F256,'Counting Kontrak'!B:E,4,0)</f>
        <v>0</v>
      </c>
      <c r="J256" s="5" t="str">
        <f ca="1">VLOOKUP(F256,'Data Garansi'!$E:$I,5,0)</f>
        <v>Tidak</v>
      </c>
      <c r="K256" s="6">
        <f>VLOOKUP(F256,'Tgl MC Free'!B:M,8,0)</f>
        <v>45889</v>
      </c>
      <c r="L256" s="6">
        <f>VLOOKUP(F256,'Tgl Maintenance untuk Kontrak'!$D:$M,10,0)</f>
        <v>46047</v>
      </c>
      <c r="M256" s="5" t="str">
        <f>TEXT(L256,"mmm")</f>
        <v>Jan</v>
      </c>
    </row>
    <row r="257" spans="1:13" x14ac:dyDescent="0.3">
      <c r="A257" s="5">
        <v>254</v>
      </c>
      <c r="B257" s="5" t="s">
        <v>368</v>
      </c>
      <c r="C257" s="5">
        <v>240429</v>
      </c>
      <c r="D257" s="6">
        <v>45557</v>
      </c>
      <c r="E257" s="6"/>
      <c r="F257" s="8" t="s">
        <v>467</v>
      </c>
      <c r="G257" s="8" t="s">
        <v>608</v>
      </c>
      <c r="H257" s="15">
        <f>VLOOKUP(F257,'Counting Free'!$B:$F,4,0)</f>
        <v>0</v>
      </c>
      <c r="I257" s="14">
        <f>VLOOKUP(F257,'Counting Kontrak'!B:E,4,0)</f>
        <v>0</v>
      </c>
      <c r="J257" s="5" t="str">
        <f ca="1">VLOOKUP(F257,'Data Garansi'!$E:$I,5,0)</f>
        <v>Tidak</v>
      </c>
      <c r="K257" s="6">
        <f>VLOOKUP(F257,'Tgl MC Free'!B:M,8,0)</f>
        <v>360</v>
      </c>
      <c r="L257" s="6">
        <f>VLOOKUP(F257,'Tgl Maintenance untuk Kontrak'!$D:$M,10,0)</f>
        <v>45992</v>
      </c>
    </row>
    <row r="258" spans="1:13" x14ac:dyDescent="0.3">
      <c r="A258" s="5">
        <v>255</v>
      </c>
      <c r="B258" s="5" t="s">
        <v>368</v>
      </c>
      <c r="C258" s="5">
        <v>240056</v>
      </c>
      <c r="D258" s="6">
        <v>45562</v>
      </c>
      <c r="E258" s="6" t="str">
        <f>TEXT(L258,"mmm")</f>
        <v>Jun</v>
      </c>
      <c r="F258" s="8" t="s">
        <v>468</v>
      </c>
      <c r="G258" s="8" t="s">
        <v>646</v>
      </c>
      <c r="H258" s="15">
        <f>VLOOKUP(F258,'Counting Free'!$B:$F,4,0)</f>
        <v>0</v>
      </c>
      <c r="I258" s="14">
        <f>VLOOKUP(F258,'Counting Kontrak'!B:E,4,0)</f>
        <v>0</v>
      </c>
      <c r="J258" s="5" t="str">
        <f ca="1">VLOOKUP(F258,'Data Garansi'!$E:$I,5,0)</f>
        <v>Tidak</v>
      </c>
      <c r="K258" s="6">
        <f>VLOOKUP(F258,'Tgl MC Free'!B:M,8,0)</f>
        <v>360</v>
      </c>
      <c r="L258" s="6">
        <f>VLOOKUP(F258,'Tgl Maintenance untuk Kontrak'!$D:$M,10,0)</f>
        <v>46182</v>
      </c>
      <c r="M258" s="5" t="str">
        <f>TEXT(L258,"mmm")</f>
        <v>Jun</v>
      </c>
    </row>
    <row r="259" spans="1:13" x14ac:dyDescent="0.3">
      <c r="A259" s="5">
        <v>256</v>
      </c>
      <c r="B259" s="5" t="s">
        <v>361</v>
      </c>
      <c r="C259" s="5" t="s">
        <v>554</v>
      </c>
      <c r="D259" s="6">
        <v>45567</v>
      </c>
      <c r="E259" s="6"/>
      <c r="F259" s="8" t="s">
        <v>469</v>
      </c>
      <c r="G259" s="8" t="s">
        <v>651</v>
      </c>
      <c r="H259" s="15">
        <f>VLOOKUP(F259,'Counting Free'!$B:$F,4,0)</f>
        <v>0</v>
      </c>
      <c r="I259" s="14">
        <f>VLOOKUP(F259,'Counting Kontrak'!B:E,4,0)</f>
        <v>0</v>
      </c>
      <c r="J259" s="5" t="str">
        <f ca="1">VLOOKUP(F259,'Data Garansi'!$E:$I,5,0)</f>
        <v>Tidak</v>
      </c>
      <c r="K259" s="6">
        <f>VLOOKUP(F259,'Tgl MC Free'!B:M,8,0)</f>
        <v>360</v>
      </c>
      <c r="L259" s="6">
        <f>VLOOKUP(F259,'Tgl Maintenance untuk Kontrak'!$D:$M,10,0)</f>
        <v>0</v>
      </c>
    </row>
    <row r="260" spans="1:13" x14ac:dyDescent="0.3">
      <c r="A260" s="5">
        <v>257</v>
      </c>
      <c r="B260" s="5" t="s">
        <v>364</v>
      </c>
      <c r="C260" s="5">
        <v>240135</v>
      </c>
      <c r="D260" s="6">
        <v>45572</v>
      </c>
      <c r="E260" s="6" t="str">
        <f>TEXT(L260,"mmm")</f>
        <v>Sep</v>
      </c>
      <c r="F260" s="8" t="s">
        <v>470</v>
      </c>
      <c r="G260" s="8" t="s">
        <v>632</v>
      </c>
      <c r="H260" s="15">
        <f>VLOOKUP(F260,'Counting Free'!$B:$F,4,0)</f>
        <v>0</v>
      </c>
      <c r="I260" s="14">
        <f>VLOOKUP(F260,'Counting Kontrak'!B:E,4,0)</f>
        <v>0</v>
      </c>
      <c r="J260" s="5" t="str">
        <f ca="1">VLOOKUP(F260,'Data Garansi'!$E:$I,5,0)</f>
        <v>Tidak</v>
      </c>
      <c r="K260" s="6">
        <f>VLOOKUP(F260,'Tgl MC Free'!B:M,8,0)</f>
        <v>360</v>
      </c>
      <c r="L260" s="6">
        <f>VLOOKUP(F260,'Tgl Maintenance untuk Kontrak'!$D:$M,10,0)</f>
        <v>45910</v>
      </c>
      <c r="M260" s="5" t="str">
        <f>TEXT(L260,"mmm")</f>
        <v>Sep</v>
      </c>
    </row>
    <row r="261" spans="1:13" x14ac:dyDescent="0.3">
      <c r="A261" s="5">
        <v>258</v>
      </c>
      <c r="B261" s="5" t="s">
        <v>364</v>
      </c>
      <c r="C261" s="5">
        <v>240136</v>
      </c>
      <c r="D261" s="6">
        <v>45572</v>
      </c>
      <c r="E261" s="6" t="str">
        <f>TEXT(L261,"mmm")</f>
        <v>Sep</v>
      </c>
      <c r="F261" s="8" t="s">
        <v>470</v>
      </c>
      <c r="G261" s="8" t="s">
        <v>632</v>
      </c>
      <c r="H261" s="15">
        <f>VLOOKUP(F261,'Counting Free'!$B:$F,4,0)</f>
        <v>0</v>
      </c>
      <c r="I261" s="14">
        <f>VLOOKUP(F261,'Counting Kontrak'!B:E,4,0)</f>
        <v>0</v>
      </c>
      <c r="J261" s="5" t="str">
        <f ca="1">VLOOKUP(F261,'Data Garansi'!$E:$I,5,0)</f>
        <v>Tidak</v>
      </c>
      <c r="K261" s="6">
        <f>VLOOKUP(F261,'Tgl MC Free'!B:M,8,0)</f>
        <v>360</v>
      </c>
      <c r="L261" s="6">
        <f>VLOOKUP(F261,'Tgl Maintenance untuk Kontrak'!$D:$M,10,0)</f>
        <v>45910</v>
      </c>
      <c r="M261" s="5" t="str">
        <f>TEXT(L261,"mmm")</f>
        <v>Sep</v>
      </c>
    </row>
    <row r="262" spans="1:13" x14ac:dyDescent="0.3">
      <c r="A262" s="5">
        <v>259</v>
      </c>
      <c r="B262" s="5" t="s">
        <v>364</v>
      </c>
      <c r="C262" s="5">
        <v>240373</v>
      </c>
      <c r="D262" s="6">
        <v>45575</v>
      </c>
      <c r="E262" s="6"/>
      <c r="F262" s="8" t="s">
        <v>471</v>
      </c>
      <c r="G262" s="8" t="s">
        <v>608</v>
      </c>
      <c r="H262" s="15">
        <f>VLOOKUP(F262,'Counting Free'!$B:$F,4,0)</f>
        <v>0</v>
      </c>
      <c r="I262" s="14">
        <f>VLOOKUP(F262,'Counting Kontrak'!B:E,4,0)</f>
        <v>0</v>
      </c>
      <c r="J262" s="5" t="str">
        <f ca="1">VLOOKUP(F262,'Data Garansi'!$E:$I,5,0)</f>
        <v>Tidak</v>
      </c>
      <c r="K262" s="6">
        <f>VLOOKUP(F262,'Tgl MC Free'!B:M,8,0)</f>
        <v>360</v>
      </c>
      <c r="L262" s="6">
        <f>VLOOKUP(F262,'Tgl Maintenance untuk Kontrak'!$D:$M,10,0)</f>
        <v>46040</v>
      </c>
    </row>
    <row r="263" spans="1:13" x14ac:dyDescent="0.3">
      <c r="A263" s="5">
        <v>260</v>
      </c>
      <c r="B263" s="5" t="s">
        <v>368</v>
      </c>
      <c r="C263" s="5">
        <v>240339</v>
      </c>
      <c r="D263" s="6">
        <v>45583</v>
      </c>
      <c r="E263" s="6" t="str">
        <f>TEXT(L263,"mmm")</f>
        <v>May</v>
      </c>
      <c r="F263" s="8" t="s">
        <v>472</v>
      </c>
      <c r="G263" s="8" t="s">
        <v>618</v>
      </c>
      <c r="H263" s="15">
        <f>VLOOKUP(F263,'Counting Free'!$B:$F,4,0)</f>
        <v>0</v>
      </c>
      <c r="I263" s="14">
        <f>VLOOKUP(F263,'Counting Kontrak'!B:E,4,0)</f>
        <v>0</v>
      </c>
      <c r="J263" s="5" t="str">
        <f ca="1">VLOOKUP(F263,'Data Garansi'!$E:$I,5,0)</f>
        <v>Tidak</v>
      </c>
      <c r="K263" s="6">
        <f>VLOOKUP(F263,'Tgl MC Free'!B:M,8,0)</f>
        <v>360</v>
      </c>
      <c r="L263" s="6">
        <f>VLOOKUP(F263,'Tgl Maintenance untuk Kontrak'!$D:$M,10,0)</f>
        <v>46164</v>
      </c>
      <c r="M263" s="5" t="str">
        <f>TEXT(L263,"mmm")</f>
        <v>May</v>
      </c>
    </row>
    <row r="264" spans="1:13" x14ac:dyDescent="0.3">
      <c r="A264" s="5">
        <v>261</v>
      </c>
      <c r="B264" s="5" t="s">
        <v>368</v>
      </c>
      <c r="C264" s="5">
        <v>240476</v>
      </c>
      <c r="D264" s="6">
        <v>45597</v>
      </c>
      <c r="E264" s="6"/>
      <c r="F264" s="8" t="s">
        <v>473</v>
      </c>
      <c r="G264" s="8" t="s">
        <v>639</v>
      </c>
      <c r="H264" s="15">
        <f>VLOOKUP(F264,'Counting Free'!$B:$F,4,0)</f>
        <v>0</v>
      </c>
      <c r="I264" s="14">
        <f>VLOOKUP(F264,'Counting Kontrak'!B:E,4,0)</f>
        <v>0</v>
      </c>
      <c r="J264" s="5" t="str">
        <f ca="1">VLOOKUP(F264,'Data Garansi'!$E:$I,5,0)</f>
        <v>Tidak</v>
      </c>
      <c r="K264" s="6">
        <f>VLOOKUP(F264,'Tgl MC Free'!B:M,8,0)</f>
        <v>360</v>
      </c>
      <c r="L264" s="6">
        <f>VLOOKUP(F264,'Tgl Maintenance untuk Kontrak'!$D:$M,10,0)</f>
        <v>45997</v>
      </c>
    </row>
    <row r="265" spans="1:13" x14ac:dyDescent="0.3">
      <c r="A265" s="5">
        <v>262</v>
      </c>
      <c r="B265" s="5" t="s">
        <v>368</v>
      </c>
      <c r="C265" s="5">
        <v>240475</v>
      </c>
      <c r="D265" s="6">
        <v>45597</v>
      </c>
      <c r="E265" s="6" t="str">
        <f>TEXT(L265,"mmm")</f>
        <v>Nov</v>
      </c>
      <c r="F265" s="8" t="s">
        <v>474</v>
      </c>
      <c r="G265" s="8" t="s">
        <v>608</v>
      </c>
      <c r="H265" s="15">
        <f>VLOOKUP(F265,'Counting Free'!$B:$F,4,0)</f>
        <v>0</v>
      </c>
      <c r="I265" s="14">
        <f>VLOOKUP(F265,'Counting Kontrak'!B:E,4,0)</f>
        <v>0</v>
      </c>
      <c r="J265" s="5" t="str">
        <f ca="1">VLOOKUP(F265,'Data Garansi'!$E:$I,5,0)</f>
        <v>Tidak</v>
      </c>
      <c r="K265" s="6">
        <f>VLOOKUP(F265,'Tgl MC Free'!B:M,8,0)</f>
        <v>360</v>
      </c>
      <c r="L265" s="6">
        <f>VLOOKUP(F265,'Tgl Maintenance untuk Kontrak'!$D:$M,10,0)</f>
        <v>45976</v>
      </c>
      <c r="M265" s="5" t="str">
        <f>TEXT(L265,"mmm")</f>
        <v>Nov</v>
      </c>
    </row>
    <row r="266" spans="1:13" x14ac:dyDescent="0.3">
      <c r="A266" s="5">
        <v>263</v>
      </c>
      <c r="B266" s="5" t="s">
        <v>361</v>
      </c>
      <c r="C266" s="5" t="s">
        <v>555</v>
      </c>
      <c r="D266" s="6">
        <v>45604</v>
      </c>
      <c r="E266" s="6"/>
      <c r="F266" s="8" t="s">
        <v>475</v>
      </c>
      <c r="G266" s="8" t="s">
        <v>627</v>
      </c>
      <c r="H266" s="15">
        <f>VLOOKUP(F266,'Counting Free'!$B:$F,4,0)</f>
        <v>0</v>
      </c>
      <c r="I266" s="14">
        <f>VLOOKUP(F266,'Counting Kontrak'!B:E,4,0)</f>
        <v>0</v>
      </c>
      <c r="J266" s="5" t="str">
        <f ca="1">VLOOKUP(F266,'Data Garansi'!$E:$I,5,0)</f>
        <v>Tidak</v>
      </c>
      <c r="K266" s="6">
        <f>VLOOKUP(F266,'Tgl MC Free'!B:M,8,0)</f>
        <v>360</v>
      </c>
      <c r="L266" s="6">
        <f>VLOOKUP(F266,'Tgl Maintenance untuk Kontrak'!$D:$M,10,0)</f>
        <v>0</v>
      </c>
    </row>
    <row r="267" spans="1:13" x14ac:dyDescent="0.3">
      <c r="A267" s="5">
        <v>264</v>
      </c>
      <c r="B267" s="5" t="s">
        <v>389</v>
      </c>
      <c r="C267" s="5" t="s">
        <v>556</v>
      </c>
      <c r="D267" s="6">
        <v>45606</v>
      </c>
      <c r="E267" s="6" t="str">
        <f>TEXT(L267,"mmm")</f>
        <v>Aug</v>
      </c>
      <c r="F267" s="8" t="s">
        <v>476</v>
      </c>
      <c r="G267" s="8" t="s">
        <v>628</v>
      </c>
      <c r="H267" s="15">
        <f>VLOOKUP(F267,'Counting Free'!$B:$F,4,0)</f>
        <v>0</v>
      </c>
      <c r="I267" s="14">
        <f>VLOOKUP(F267,'Counting Kontrak'!B:E,4,0)</f>
        <v>0</v>
      </c>
      <c r="J267" s="5" t="str">
        <f ca="1">VLOOKUP(F267,'Data Garansi'!$E:$I,5,0)</f>
        <v>Tidak</v>
      </c>
      <c r="K267" s="6">
        <f>VLOOKUP(F267,'Tgl MC Free'!B:M,8,0)</f>
        <v>360</v>
      </c>
      <c r="L267" s="6">
        <f>VLOOKUP(F267,'Tgl Maintenance untuk Kontrak'!$D:$M,10,0)</f>
        <v>46254</v>
      </c>
      <c r="M267" s="5" t="str">
        <f>TEXT(L267,"mmm")</f>
        <v>Aug</v>
      </c>
    </row>
    <row r="268" spans="1:13" x14ac:dyDescent="0.3">
      <c r="A268" s="5">
        <v>265</v>
      </c>
      <c r="B268" s="5" t="s">
        <v>389</v>
      </c>
      <c r="C268" s="5" t="s">
        <v>557</v>
      </c>
      <c r="D268" s="6">
        <v>45607</v>
      </c>
      <c r="E268" s="6"/>
      <c r="F268" s="8" t="s">
        <v>477</v>
      </c>
      <c r="G268" s="8" t="s">
        <v>611</v>
      </c>
      <c r="H268" s="15">
        <f>VLOOKUP(F268,'Counting Free'!$B:$F,4,0)</f>
        <v>0</v>
      </c>
      <c r="I268" s="14">
        <f>VLOOKUP(F268,'Counting Kontrak'!B:E,4,0)</f>
        <v>0</v>
      </c>
      <c r="J268" s="5" t="str">
        <f ca="1">VLOOKUP(F268,'Data Garansi'!$E:$I,5,0)</f>
        <v>Tidak</v>
      </c>
      <c r="K268" s="6">
        <f>VLOOKUP(F268,'Tgl MC Free'!B:M,8,0)</f>
        <v>360</v>
      </c>
      <c r="L268" s="6">
        <f>VLOOKUP(F268,'Tgl Maintenance untuk Kontrak'!$D:$M,10,0)</f>
        <v>46084</v>
      </c>
    </row>
    <row r="269" spans="1:13" x14ac:dyDescent="0.3">
      <c r="A269" s="5">
        <v>266</v>
      </c>
      <c r="B269" s="5" t="s">
        <v>368</v>
      </c>
      <c r="C269" s="5">
        <v>240477</v>
      </c>
      <c r="D269" s="6">
        <v>45614</v>
      </c>
      <c r="E269" s="6"/>
      <c r="F269" s="8" t="s">
        <v>478</v>
      </c>
      <c r="G269" s="8" t="s">
        <v>615</v>
      </c>
      <c r="H269" s="15">
        <f>VLOOKUP(F269,'Counting Free'!$B:$F,4,0)</f>
        <v>0</v>
      </c>
      <c r="I269" s="14">
        <f>VLOOKUP(F269,'Counting Kontrak'!B:E,4,0)</f>
        <v>0</v>
      </c>
      <c r="J269" s="5" t="str">
        <f ca="1">VLOOKUP(F269,'Data Garansi'!$E:$I,5,0)</f>
        <v>Tidak</v>
      </c>
      <c r="K269" s="6">
        <f>VLOOKUP(F269,'Tgl MC Free'!B:M,8,0)</f>
        <v>360</v>
      </c>
      <c r="L269" s="6">
        <f>VLOOKUP(F269,'Tgl Maintenance untuk Kontrak'!$D:$M,10,0)</f>
        <v>46043</v>
      </c>
    </row>
    <row r="270" spans="1:13" x14ac:dyDescent="0.3">
      <c r="A270" s="5">
        <v>267</v>
      </c>
      <c r="B270" s="5" t="s">
        <v>389</v>
      </c>
      <c r="C270" s="5" t="s">
        <v>558</v>
      </c>
      <c r="D270" s="6">
        <v>45614</v>
      </c>
      <c r="E270" s="6" t="str">
        <f>TEXT(L270,"mmm")</f>
        <v>May</v>
      </c>
      <c r="F270" s="8" t="s">
        <v>479</v>
      </c>
      <c r="G270" s="8" t="s">
        <v>618</v>
      </c>
      <c r="H270" s="15">
        <f>VLOOKUP(F270,'Counting Free'!$B:$F,4,0)</f>
        <v>0</v>
      </c>
      <c r="I270" s="14">
        <f>VLOOKUP(F270,'Counting Kontrak'!B:E,4,0)</f>
        <v>0</v>
      </c>
      <c r="J270" s="5" t="str">
        <f ca="1">VLOOKUP(F270,'Data Garansi'!$E:$I,5,0)</f>
        <v>Tidak</v>
      </c>
      <c r="K270" s="6">
        <f>VLOOKUP(F270,'Tgl MC Free'!B:M,8,0)</f>
        <v>360</v>
      </c>
      <c r="L270" s="6">
        <f>VLOOKUP(F270,'Tgl Maintenance untuk Kontrak'!$D:$M,10,0)</f>
        <v>46168</v>
      </c>
      <c r="M270" s="5" t="str">
        <f>TEXT(L270,"mmm")</f>
        <v>May</v>
      </c>
    </row>
    <row r="271" spans="1:13" x14ac:dyDescent="0.3">
      <c r="A271" s="5">
        <v>268</v>
      </c>
      <c r="B271" s="5" t="s">
        <v>532</v>
      </c>
      <c r="C271" s="5" t="s">
        <v>559</v>
      </c>
      <c r="D271" s="6">
        <v>45619</v>
      </c>
      <c r="E271" s="6"/>
      <c r="F271" s="8" t="s">
        <v>480</v>
      </c>
      <c r="G271" s="8" t="s">
        <v>617</v>
      </c>
      <c r="H271" s="15">
        <f>VLOOKUP(F271,'Counting Free'!$B:$F,4,0)</f>
        <v>0</v>
      </c>
      <c r="I271" s="14">
        <f>VLOOKUP(F271,'Counting Kontrak'!B:E,4,0)</f>
        <v>0</v>
      </c>
      <c r="J271" s="5" t="str">
        <f ca="1">VLOOKUP(F271,'Data Garansi'!$E:$I,5,0)</f>
        <v>Tidak</v>
      </c>
      <c r="K271" s="6">
        <f>VLOOKUP(F271,'Tgl MC Free'!B:M,8,0)</f>
        <v>360</v>
      </c>
      <c r="L271" s="6">
        <f>VLOOKUP(F271,'Tgl Maintenance untuk Kontrak'!$D:$M,10,0)</f>
        <v>46256</v>
      </c>
    </row>
    <row r="272" spans="1:13" x14ac:dyDescent="0.3">
      <c r="A272" s="5">
        <v>319</v>
      </c>
      <c r="B272" s="5" t="s">
        <v>367</v>
      </c>
      <c r="C272" s="5" t="s">
        <v>595</v>
      </c>
      <c r="D272" s="6">
        <v>45624</v>
      </c>
      <c r="E272" s="6" t="str">
        <f>TEXT(L272,"mmm")</f>
        <v>May</v>
      </c>
      <c r="F272" s="8" t="s">
        <v>598</v>
      </c>
      <c r="G272" s="8" t="s">
        <v>610</v>
      </c>
      <c r="H272" s="15">
        <f>VLOOKUP(F272,'Counting Free'!$B:$F,4,0)</f>
        <v>0</v>
      </c>
      <c r="I272" s="14">
        <f>VLOOKUP(F272,'Counting Kontrak'!B:E,4,0)</f>
        <v>0</v>
      </c>
      <c r="J272" s="5" t="str">
        <f ca="1">VLOOKUP(F272,'Data Garansi'!$E:$I,5,0)</f>
        <v>Tidak</v>
      </c>
      <c r="K272" s="6">
        <f>VLOOKUP(F272,'Tgl MC Free'!B:M,8,0)</f>
        <v>45984</v>
      </c>
      <c r="L272" s="6">
        <f>VLOOKUP(F272,'Tgl Maintenance untuk Kontrak'!$D:$M,10,0)</f>
        <v>45804</v>
      </c>
      <c r="M272" s="5" t="str">
        <f>TEXT(L272,"mmm")</f>
        <v>May</v>
      </c>
    </row>
    <row r="273" spans="1:13" x14ac:dyDescent="0.3">
      <c r="A273" s="5">
        <v>269</v>
      </c>
      <c r="B273" s="5" t="s">
        <v>368</v>
      </c>
      <c r="C273" s="5">
        <v>240432</v>
      </c>
      <c r="D273" s="6">
        <v>45627</v>
      </c>
      <c r="E273" s="6"/>
      <c r="F273" s="8" t="s">
        <v>481</v>
      </c>
      <c r="G273" s="8" t="s">
        <v>615</v>
      </c>
      <c r="H273" s="15">
        <f>VLOOKUP(F273,'Counting Free'!$B:$F,4,0)</f>
        <v>0</v>
      </c>
      <c r="I273" s="14">
        <f>VLOOKUP(F273,'Counting Kontrak'!B:E,4,0)</f>
        <v>0</v>
      </c>
      <c r="J273" s="5" t="str">
        <f ca="1">VLOOKUP(F273,'Data Garansi'!$E:$I,5,0)</f>
        <v>Tidak</v>
      </c>
      <c r="K273" s="6">
        <f>VLOOKUP(F273,'Tgl MC Free'!B:M,8,0)</f>
        <v>360</v>
      </c>
      <c r="L273" s="6">
        <f>VLOOKUP(F273,'Tgl Maintenance untuk Kontrak'!$D:$M,10,0)</f>
        <v>46022</v>
      </c>
    </row>
    <row r="274" spans="1:13" x14ac:dyDescent="0.3">
      <c r="A274" s="5">
        <v>270</v>
      </c>
      <c r="B274" s="5" t="s">
        <v>341</v>
      </c>
      <c r="C274" s="5" t="s">
        <v>341</v>
      </c>
      <c r="D274" s="6">
        <v>45630</v>
      </c>
      <c r="E274" s="6" t="str">
        <f>TEXT(L274,"mmm")</f>
        <v>Dec</v>
      </c>
      <c r="F274" s="8" t="s">
        <v>482</v>
      </c>
      <c r="G274" s="8" t="s">
        <v>617</v>
      </c>
      <c r="H274" s="15">
        <f>VLOOKUP(F274,'Counting Free'!$B:$F,4,0)</f>
        <v>0</v>
      </c>
      <c r="I274" s="14">
        <f>VLOOKUP(F274,'Counting Kontrak'!B:E,4,0)</f>
        <v>0</v>
      </c>
      <c r="J274" s="5" t="str">
        <f ca="1">VLOOKUP(F274,'Data Garansi'!$E:$I,5,0)</f>
        <v>Tidak</v>
      </c>
      <c r="K274" s="6">
        <f>VLOOKUP(F274,'Tgl MC Free'!B:M,8,0)</f>
        <v>360</v>
      </c>
      <c r="L274" s="6">
        <f>VLOOKUP(F274,'Tgl Maintenance untuk Kontrak'!$D:$M,10,0)</f>
        <v>46006</v>
      </c>
      <c r="M274" s="5" t="str">
        <f>TEXT(L274,"mmm")</f>
        <v>Dec</v>
      </c>
    </row>
    <row r="275" spans="1:13" x14ac:dyDescent="0.3">
      <c r="A275" s="5">
        <v>271</v>
      </c>
      <c r="B275" s="5" t="s">
        <v>388</v>
      </c>
      <c r="C275" s="5" t="s">
        <v>560</v>
      </c>
      <c r="D275" s="6">
        <v>45631</v>
      </c>
      <c r="E275" s="6" t="str">
        <f>TEXT(L275,"mmm")</f>
        <v>May</v>
      </c>
      <c r="F275" s="8" t="s">
        <v>483</v>
      </c>
      <c r="G275" s="8" t="s">
        <v>617</v>
      </c>
      <c r="H275" s="15">
        <f>VLOOKUP(F275,'Counting Free'!$B:$F,4,0)</f>
        <v>0</v>
      </c>
      <c r="I275" s="14">
        <f>VLOOKUP(F275,'Counting Kontrak'!B:E,4,0)</f>
        <v>0</v>
      </c>
      <c r="J275" s="5" t="str">
        <f ca="1">VLOOKUP(F275,'Data Garansi'!$E:$I,5,0)</f>
        <v>Tidak</v>
      </c>
      <c r="K275" s="6">
        <f>VLOOKUP(F275,'Tgl MC Free'!B:M,8,0)</f>
        <v>360</v>
      </c>
      <c r="L275" s="6">
        <f>VLOOKUP(F275,'Tgl Maintenance untuk Kontrak'!$D:$M,10,0)</f>
        <v>46169</v>
      </c>
      <c r="M275" s="5" t="str">
        <f>TEXT(L275,"mmm")</f>
        <v>May</v>
      </c>
    </row>
    <row r="276" spans="1:13" x14ac:dyDescent="0.3">
      <c r="A276" s="5">
        <v>272</v>
      </c>
      <c r="B276" s="5" t="s">
        <v>388</v>
      </c>
      <c r="C276" s="5" t="s">
        <v>561</v>
      </c>
      <c r="D276" s="6">
        <v>45642</v>
      </c>
      <c r="E276" s="6"/>
      <c r="F276" s="8" t="s">
        <v>484</v>
      </c>
      <c r="G276" s="8" t="s">
        <v>608</v>
      </c>
      <c r="H276" s="15">
        <f>VLOOKUP(F276,'Counting Free'!$B:$F,4,0)</f>
        <v>0</v>
      </c>
      <c r="I276" s="14">
        <f>VLOOKUP(F276,'Counting Kontrak'!B:E,4,0)</f>
        <v>0</v>
      </c>
      <c r="J276" s="5" t="str">
        <f ca="1">VLOOKUP(F276,'Data Garansi'!$E:$I,5,0)</f>
        <v>Tidak</v>
      </c>
      <c r="K276" s="6">
        <f>VLOOKUP(F276,'Tgl MC Free'!B:M,8,0)</f>
        <v>360</v>
      </c>
      <c r="L276" s="6">
        <f>VLOOKUP(F276,'Tgl Maintenance untuk Kontrak'!$D:$M,10,0)</f>
        <v>46273</v>
      </c>
    </row>
    <row r="277" spans="1:13" x14ac:dyDescent="0.3">
      <c r="A277" s="5">
        <v>273</v>
      </c>
      <c r="B277" s="5" t="s">
        <v>388</v>
      </c>
      <c r="C277" s="5" t="s">
        <v>562</v>
      </c>
      <c r="D277" s="6">
        <v>45643</v>
      </c>
      <c r="E277" s="6" t="str">
        <f t="shared" ref="E277:E282" si="6">TEXT(L277,"mmm")</f>
        <v>Jul</v>
      </c>
      <c r="F277" s="8" t="s">
        <v>485</v>
      </c>
      <c r="G277" s="8" t="s">
        <v>653</v>
      </c>
      <c r="H277" s="15">
        <f>VLOOKUP(F277,'Counting Free'!$B:$F,4,0)</f>
        <v>0</v>
      </c>
      <c r="I277" s="14">
        <f>VLOOKUP(F277,'Counting Kontrak'!B:E,4,0)</f>
        <v>0</v>
      </c>
      <c r="J277" s="5" t="str">
        <f ca="1">VLOOKUP(F277,'Data Garansi'!$E:$I,5,0)</f>
        <v>Tidak</v>
      </c>
      <c r="K277" s="6">
        <f>VLOOKUP(F277,'Tgl MC Free'!B:M,8,0)</f>
        <v>360</v>
      </c>
      <c r="L277" s="6">
        <f>VLOOKUP(F277,'Tgl Maintenance untuk Kontrak'!$D:$M,10,0)</f>
        <v>46214</v>
      </c>
      <c r="M277" s="5" t="str">
        <f t="shared" ref="M277:M282" si="7">TEXT(L277,"mmm")</f>
        <v>Jul</v>
      </c>
    </row>
    <row r="278" spans="1:13" x14ac:dyDescent="0.3">
      <c r="A278" s="5">
        <v>274</v>
      </c>
      <c r="B278" s="5" t="s">
        <v>388</v>
      </c>
      <c r="C278" s="5" t="s">
        <v>563</v>
      </c>
      <c r="D278" s="6">
        <v>45646</v>
      </c>
      <c r="E278" s="6" t="str">
        <f t="shared" si="6"/>
        <v>May</v>
      </c>
      <c r="F278" s="8" t="s">
        <v>486</v>
      </c>
      <c r="G278" s="8" t="s">
        <v>610</v>
      </c>
      <c r="H278" s="15">
        <f>VLOOKUP(F278,'Counting Free'!$B:$F,4,0)</f>
        <v>0</v>
      </c>
      <c r="I278" s="14">
        <f>VLOOKUP(F278,'Counting Kontrak'!B:E,4,0)</f>
        <v>0</v>
      </c>
      <c r="J278" s="5" t="str">
        <f ca="1">VLOOKUP(F278,'Data Garansi'!$E:$I,5,0)</f>
        <v>Tidak</v>
      </c>
      <c r="K278" s="6">
        <f>VLOOKUP(F278,'Tgl MC Free'!B:M,8,0)</f>
        <v>360</v>
      </c>
      <c r="L278" s="6">
        <f>VLOOKUP(F278,'Tgl Maintenance untuk Kontrak'!$D:$M,10,0)</f>
        <v>46160</v>
      </c>
      <c r="M278" s="5" t="str">
        <f t="shared" si="7"/>
        <v>May</v>
      </c>
    </row>
    <row r="279" spans="1:13" x14ac:dyDescent="0.3">
      <c r="A279" s="5">
        <v>275</v>
      </c>
      <c r="B279" s="5" t="s">
        <v>364</v>
      </c>
      <c r="C279" s="5">
        <v>240380</v>
      </c>
      <c r="D279" s="6">
        <v>45650</v>
      </c>
      <c r="E279" s="6" t="str">
        <f t="shared" si="6"/>
        <v>Jan</v>
      </c>
      <c r="F279" s="8" t="s">
        <v>487</v>
      </c>
      <c r="G279" s="8" t="s">
        <v>610</v>
      </c>
      <c r="H279" s="15">
        <f>VLOOKUP(F279,'Counting Free'!$B:$F,4,0)</f>
        <v>0</v>
      </c>
      <c r="I279" s="14">
        <f>VLOOKUP(F279,'Counting Kontrak'!B:E,4,0)</f>
        <v>0</v>
      </c>
      <c r="J279" s="5" t="str">
        <f ca="1">VLOOKUP(F279,'Data Garansi'!$E:$I,5,0)</f>
        <v>Tidak</v>
      </c>
      <c r="K279" s="6">
        <f>VLOOKUP(F279,'Tgl MC Free'!B:M,8,0)</f>
        <v>360</v>
      </c>
      <c r="L279" s="6">
        <f>VLOOKUP(F279,'Tgl Maintenance untuk Kontrak'!$D:$M,10,0)</f>
        <v>46044</v>
      </c>
      <c r="M279" s="5" t="str">
        <f t="shared" si="7"/>
        <v>Jan</v>
      </c>
    </row>
    <row r="280" spans="1:13" x14ac:dyDescent="0.3">
      <c r="A280" s="5">
        <v>276</v>
      </c>
      <c r="B280" s="5" t="s">
        <v>368</v>
      </c>
      <c r="C280" s="5">
        <v>240526</v>
      </c>
      <c r="D280" s="6">
        <v>45650</v>
      </c>
      <c r="E280" s="6" t="str">
        <f t="shared" si="6"/>
        <v>Feb</v>
      </c>
      <c r="F280" s="8" t="s">
        <v>488</v>
      </c>
      <c r="G280" s="8" t="s">
        <v>656</v>
      </c>
      <c r="H280" s="15">
        <f>VLOOKUP(F280,'Counting Free'!$B:$F,4,0)</f>
        <v>0</v>
      </c>
      <c r="I280" s="14">
        <f>VLOOKUP(F280,'Counting Kontrak'!B:E,4,0)</f>
        <v>0</v>
      </c>
      <c r="J280" s="5" t="str">
        <f ca="1">VLOOKUP(F280,'Data Garansi'!$E:$I,5,0)</f>
        <v>Tidak</v>
      </c>
      <c r="K280" s="6">
        <f>VLOOKUP(F280,'Tgl MC Free'!B:M,8,0)</f>
        <v>360</v>
      </c>
      <c r="L280" s="6">
        <f>VLOOKUP(F280,'Tgl Maintenance untuk Kontrak'!$D:$M,10,0)</f>
        <v>46076</v>
      </c>
      <c r="M280" s="5" t="str">
        <f t="shared" si="7"/>
        <v>Feb</v>
      </c>
    </row>
    <row r="281" spans="1:13" x14ac:dyDescent="0.3">
      <c r="A281" s="5">
        <v>277</v>
      </c>
      <c r="B281" s="5" t="s">
        <v>388</v>
      </c>
      <c r="C281" s="5" t="s">
        <v>564</v>
      </c>
      <c r="D281" s="6">
        <v>45650</v>
      </c>
      <c r="E281" s="6" t="str">
        <f t="shared" si="6"/>
        <v>Jun</v>
      </c>
      <c r="F281" s="8" t="s">
        <v>489</v>
      </c>
      <c r="G281" s="8" t="s">
        <v>615</v>
      </c>
      <c r="H281" s="15">
        <f>VLOOKUP(F281,'Counting Free'!$B:$F,4,0)</f>
        <v>0</v>
      </c>
      <c r="I281" s="14">
        <f>VLOOKUP(F281,'Counting Kontrak'!B:E,4,0)</f>
        <v>0</v>
      </c>
      <c r="J281" s="5" t="str">
        <f ca="1">VLOOKUP(F281,'Data Garansi'!$E:$I,5,0)</f>
        <v>Tidak</v>
      </c>
      <c r="K281" s="6">
        <f>VLOOKUP(F281,'Tgl MC Free'!B:M,8,0)</f>
        <v>360</v>
      </c>
      <c r="L281" s="6">
        <f>VLOOKUP(F281,'Tgl Maintenance untuk Kontrak'!$D:$M,10,0)</f>
        <v>46192</v>
      </c>
      <c r="M281" s="5" t="str">
        <f t="shared" si="7"/>
        <v>Jun</v>
      </c>
    </row>
    <row r="282" spans="1:13" x14ac:dyDescent="0.3">
      <c r="A282" s="5">
        <v>278</v>
      </c>
      <c r="B282" s="5" t="s">
        <v>388</v>
      </c>
      <c r="C282" s="5" t="s">
        <v>565</v>
      </c>
      <c r="D282" s="6">
        <v>45650</v>
      </c>
      <c r="E282" s="6" t="str">
        <f t="shared" si="6"/>
        <v>Feb</v>
      </c>
      <c r="F282" s="8" t="s">
        <v>490</v>
      </c>
      <c r="G282" s="8" t="s">
        <v>615</v>
      </c>
      <c r="H282" s="15">
        <f>VLOOKUP(F282,'Counting Free'!$B:$F,4,0)</f>
        <v>0</v>
      </c>
      <c r="I282" s="14">
        <f>VLOOKUP(F282,'Counting Kontrak'!B:E,4,0)</f>
        <v>0</v>
      </c>
      <c r="J282" s="5" t="str">
        <f ca="1">VLOOKUP(F282,'Data Garansi'!$E:$I,5,0)</f>
        <v>Tidak</v>
      </c>
      <c r="K282" s="6">
        <f>VLOOKUP(F282,'Tgl MC Free'!B:M,8,0)</f>
        <v>360</v>
      </c>
      <c r="L282" s="6">
        <f>VLOOKUP(F282,'Tgl Maintenance untuk Kontrak'!$D:$M,10,0)</f>
        <v>46076</v>
      </c>
      <c r="M282" s="5" t="str">
        <f t="shared" si="7"/>
        <v>Feb</v>
      </c>
    </row>
    <row r="283" spans="1:13" x14ac:dyDescent="0.3">
      <c r="A283" s="5">
        <v>279</v>
      </c>
      <c r="B283" s="5" t="s">
        <v>341</v>
      </c>
      <c r="C283" s="5" t="s">
        <v>566</v>
      </c>
      <c r="D283" s="6">
        <v>45652</v>
      </c>
      <c r="E283" s="6"/>
      <c r="F283" s="8" t="s">
        <v>491</v>
      </c>
      <c r="G283" s="8" t="s">
        <v>613</v>
      </c>
      <c r="H283" s="15">
        <f>VLOOKUP(F283,'Counting Free'!$B:$F,4,0)</f>
        <v>0</v>
      </c>
      <c r="I283" s="14">
        <f>VLOOKUP(F283,'Counting Kontrak'!B:E,4,0)</f>
        <v>0</v>
      </c>
      <c r="J283" s="5" t="str">
        <f ca="1">VLOOKUP(F283,'Data Garansi'!$E:$I,5,0)</f>
        <v>Tidak</v>
      </c>
      <c r="K283" s="6">
        <f>VLOOKUP(F283,'Tgl MC Free'!B:M,8,0)</f>
        <v>360</v>
      </c>
      <c r="L283" s="6">
        <f>VLOOKUP(F283,'Tgl Maintenance untuk Kontrak'!$D:$M,10,0)</f>
        <v>46142</v>
      </c>
    </row>
    <row r="284" spans="1:13" x14ac:dyDescent="0.3">
      <c r="A284" s="5">
        <v>280</v>
      </c>
      <c r="B284" s="5" t="s">
        <v>389</v>
      </c>
      <c r="C284" s="5" t="s">
        <v>567</v>
      </c>
      <c r="D284" s="6">
        <v>45656</v>
      </c>
      <c r="E284" s="6"/>
      <c r="F284" s="8" t="s">
        <v>492</v>
      </c>
      <c r="G284" s="8" t="s">
        <v>615</v>
      </c>
      <c r="H284" s="15">
        <f>VLOOKUP(F284,'Counting Free'!$B:$F,4,0)</f>
        <v>0</v>
      </c>
      <c r="I284" s="14">
        <f>VLOOKUP(F284,'Counting Kontrak'!B:E,4,0)</f>
        <v>0</v>
      </c>
      <c r="J284" s="5" t="str">
        <f ca="1">VLOOKUP(F284,'Data Garansi'!$E:$I,5,0)</f>
        <v>Tidak</v>
      </c>
      <c r="K284" s="6">
        <f>VLOOKUP(F284,'Tgl MC Free'!B:M,8,0)</f>
        <v>360</v>
      </c>
      <c r="L284" s="6">
        <f>VLOOKUP(F284,'Tgl Maintenance untuk Kontrak'!$D:$M,10,0)</f>
        <v>46160</v>
      </c>
    </row>
    <row r="285" spans="1:13" x14ac:dyDescent="0.3">
      <c r="A285" s="5">
        <v>281</v>
      </c>
      <c r="B285" s="5" t="s">
        <v>389</v>
      </c>
      <c r="C285" s="5" t="s">
        <v>568</v>
      </c>
      <c r="D285" s="6">
        <v>45661</v>
      </c>
      <c r="E285" s="6" t="str">
        <f t="shared" ref="E285:E322" si="8">TEXT(L285,"mmm")</f>
        <v>Mar</v>
      </c>
      <c r="F285" s="8" t="s">
        <v>493</v>
      </c>
      <c r="G285" s="8" t="s">
        <v>608</v>
      </c>
      <c r="H285" s="15">
        <f>VLOOKUP(F285,'Counting Free'!$B:$F,4,0)</f>
        <v>0</v>
      </c>
      <c r="I285" s="14">
        <f>VLOOKUP(F285,'Counting Kontrak'!B:E,4,0)</f>
        <v>0</v>
      </c>
      <c r="J285" s="5" t="str">
        <f ca="1">VLOOKUP(F285,'Data Garansi'!$E:$I,5,0)</f>
        <v>Tidak</v>
      </c>
      <c r="K285" s="6">
        <f>VLOOKUP(F285,'Tgl MC Free'!B:M,8,0)</f>
        <v>360</v>
      </c>
      <c r="L285" s="6">
        <f>VLOOKUP(F285,'Tgl Maintenance untuk Kontrak'!$D:$M,10,0)</f>
        <v>46088</v>
      </c>
      <c r="M285" s="5" t="str">
        <f t="shared" ref="M285:M322" si="9">TEXT(L285,"mmm")</f>
        <v>Mar</v>
      </c>
    </row>
    <row r="286" spans="1:13" x14ac:dyDescent="0.3">
      <c r="A286" s="5">
        <v>282</v>
      </c>
      <c r="B286" s="5" t="s">
        <v>388</v>
      </c>
      <c r="C286" s="5" t="s">
        <v>569</v>
      </c>
      <c r="D286" s="6">
        <v>45665</v>
      </c>
      <c r="E286" s="6" t="str">
        <f t="shared" si="8"/>
        <v>Apr</v>
      </c>
      <c r="F286" s="8" t="s">
        <v>494</v>
      </c>
      <c r="G286" s="8" t="s">
        <v>608</v>
      </c>
      <c r="H286" s="15">
        <f>VLOOKUP(F286,'Counting Free'!$B:$F,4,0)</f>
        <v>0</v>
      </c>
      <c r="I286" s="14">
        <f>VLOOKUP(F286,'Counting Kontrak'!B:E,4,0)</f>
        <v>0</v>
      </c>
      <c r="J286" s="5" t="str">
        <f ca="1">VLOOKUP(F286,'Data Garansi'!$E:$I,5,0)</f>
        <v>Tidak</v>
      </c>
      <c r="K286" s="6">
        <f>VLOOKUP(F286,'Tgl MC Free'!B:M,8,0)</f>
        <v>360</v>
      </c>
      <c r="L286" s="6">
        <f>VLOOKUP(F286,'Tgl Maintenance untuk Kontrak'!$D:$M,10,0)</f>
        <v>46121</v>
      </c>
      <c r="M286" s="5" t="str">
        <f t="shared" si="9"/>
        <v>Apr</v>
      </c>
    </row>
    <row r="287" spans="1:13" x14ac:dyDescent="0.3">
      <c r="A287" s="5">
        <v>283</v>
      </c>
      <c r="B287" s="5" t="s">
        <v>368</v>
      </c>
      <c r="C287" s="5">
        <v>240538</v>
      </c>
      <c r="D287" s="6">
        <v>45666</v>
      </c>
      <c r="E287" s="6" t="str">
        <f t="shared" si="8"/>
        <v>Feb</v>
      </c>
      <c r="F287" s="8" t="s">
        <v>495</v>
      </c>
      <c r="G287" s="8" t="s">
        <v>612</v>
      </c>
      <c r="H287" s="15">
        <f>VLOOKUP(F287,'Counting Free'!$B:$F,4,0)</f>
        <v>0</v>
      </c>
      <c r="I287" s="14">
        <f>VLOOKUP(F287,'Counting Kontrak'!B:E,4,0)</f>
        <v>0</v>
      </c>
      <c r="J287" s="5" t="str">
        <f ca="1">VLOOKUP(F287,'Data Garansi'!$E:$I,5,0)</f>
        <v>Tidak</v>
      </c>
      <c r="K287" s="6">
        <f>VLOOKUP(F287,'Tgl MC Free'!B:M,8,0)</f>
        <v>360</v>
      </c>
      <c r="L287" s="6">
        <f>VLOOKUP(F287,'Tgl Maintenance untuk Kontrak'!$D:$M,10,0)</f>
        <v>46060</v>
      </c>
      <c r="M287" s="5" t="str">
        <f t="shared" si="9"/>
        <v>Feb</v>
      </c>
    </row>
    <row r="288" spans="1:13" x14ac:dyDescent="0.3">
      <c r="A288" s="5">
        <v>284</v>
      </c>
      <c r="B288" s="5" t="s">
        <v>368</v>
      </c>
      <c r="C288" s="5">
        <v>240528</v>
      </c>
      <c r="D288" s="6">
        <v>45671</v>
      </c>
      <c r="E288" s="6" t="str">
        <f t="shared" si="8"/>
        <v>Jan</v>
      </c>
      <c r="F288" s="8" t="s">
        <v>496</v>
      </c>
      <c r="G288" s="8" t="s">
        <v>617</v>
      </c>
      <c r="H288" s="15">
        <f>VLOOKUP(F288,'Counting Free'!$B:$F,4,0)</f>
        <v>0</v>
      </c>
      <c r="I288" s="14">
        <f>VLOOKUP(F288,'Counting Kontrak'!B:E,4,0)</f>
        <v>0</v>
      </c>
      <c r="J288" s="5" t="str">
        <f ca="1">VLOOKUP(F288,'Data Garansi'!$E:$I,5,0)</f>
        <v>Tidak</v>
      </c>
      <c r="K288" s="6">
        <f>VLOOKUP(F288,'Tgl MC Free'!B:M,8,0)</f>
        <v>360</v>
      </c>
      <c r="L288" s="6">
        <f>VLOOKUP(F288,'Tgl Maintenance untuk Kontrak'!$D:$M,10,0)</f>
        <v>46043</v>
      </c>
      <c r="M288" s="5" t="str">
        <f t="shared" si="9"/>
        <v>Jan</v>
      </c>
    </row>
    <row r="289" spans="1:13" x14ac:dyDescent="0.3">
      <c r="A289" s="5">
        <v>285</v>
      </c>
      <c r="B289" s="5" t="s">
        <v>388</v>
      </c>
      <c r="C289" s="5" t="s">
        <v>570</v>
      </c>
      <c r="D289" s="6">
        <v>45671</v>
      </c>
      <c r="E289" s="6" t="str">
        <f t="shared" si="8"/>
        <v>Apr</v>
      </c>
      <c r="F289" s="8" t="s">
        <v>497</v>
      </c>
      <c r="G289" s="8" t="s">
        <v>617</v>
      </c>
      <c r="H289" s="15">
        <f>VLOOKUP(F289,'Counting Free'!$B:$F,4,0)</f>
        <v>0</v>
      </c>
      <c r="I289" s="14">
        <f>VLOOKUP(F289,'Counting Kontrak'!B:E,4,0)</f>
        <v>0</v>
      </c>
      <c r="J289" s="5" t="str">
        <f ca="1">VLOOKUP(F289,'Data Garansi'!$E:$I,5,0)</f>
        <v>Tidak</v>
      </c>
      <c r="K289" s="6">
        <f>VLOOKUP(F289,'Tgl MC Free'!B:M,8,0)</f>
        <v>360</v>
      </c>
      <c r="L289" s="6">
        <f>VLOOKUP(F289,'Tgl Maintenance untuk Kontrak'!$D:$M,10,0)</f>
        <v>46140</v>
      </c>
      <c r="M289" s="5" t="str">
        <f t="shared" si="9"/>
        <v>Apr</v>
      </c>
    </row>
    <row r="290" spans="1:13" x14ac:dyDescent="0.3">
      <c r="A290" s="5">
        <v>286</v>
      </c>
      <c r="B290" s="5" t="s">
        <v>388</v>
      </c>
      <c r="C290" s="5" t="s">
        <v>571</v>
      </c>
      <c r="D290" s="6">
        <v>45671</v>
      </c>
      <c r="E290" s="6" t="str">
        <f t="shared" si="8"/>
        <v>May</v>
      </c>
      <c r="F290" s="8" t="s">
        <v>498</v>
      </c>
      <c r="G290" s="8" t="s">
        <v>610</v>
      </c>
      <c r="H290" s="15">
        <f>VLOOKUP(F290,'Counting Free'!$B:$F,4,0)</f>
        <v>0</v>
      </c>
      <c r="I290" s="14">
        <f>VLOOKUP(F290,'Counting Kontrak'!B:E,4,0)</f>
        <v>0</v>
      </c>
      <c r="J290" s="5" t="str">
        <f ca="1">VLOOKUP(F290,'Data Garansi'!$E:$I,5,0)</f>
        <v>Tidak</v>
      </c>
      <c r="K290" s="6">
        <f>VLOOKUP(F290,'Tgl MC Free'!B:M,8,0)</f>
        <v>360</v>
      </c>
      <c r="L290" s="6">
        <f>VLOOKUP(F290,'Tgl Maintenance untuk Kontrak'!$D:$M,10,0)</f>
        <v>46169</v>
      </c>
      <c r="M290" s="5" t="str">
        <f t="shared" si="9"/>
        <v>May</v>
      </c>
    </row>
    <row r="291" spans="1:13" x14ac:dyDescent="0.3">
      <c r="A291" s="5">
        <v>287</v>
      </c>
      <c r="B291" s="5" t="s">
        <v>388</v>
      </c>
      <c r="C291" s="5" t="s">
        <v>572</v>
      </c>
      <c r="D291" s="6">
        <v>45674</v>
      </c>
      <c r="E291" s="6" t="str">
        <f t="shared" si="8"/>
        <v>Sep</v>
      </c>
      <c r="F291" s="8" t="s">
        <v>499</v>
      </c>
      <c r="G291" s="8" t="s">
        <v>611</v>
      </c>
      <c r="H291" s="15">
        <f>VLOOKUP(F291,'Counting Free'!$B:$F,4,0)</f>
        <v>0</v>
      </c>
      <c r="I291" s="14">
        <f>VLOOKUP(F291,'Counting Kontrak'!B:E,4,0)</f>
        <v>0</v>
      </c>
      <c r="J291" s="5" t="str">
        <f ca="1">VLOOKUP(F291,'Data Garansi'!$E:$I,5,0)</f>
        <v>Tidak</v>
      </c>
      <c r="K291" s="6">
        <f>VLOOKUP(F291,'Tgl MC Free'!B:M,8,0)</f>
        <v>360</v>
      </c>
      <c r="L291" s="6">
        <f>VLOOKUP(F291,'Tgl Maintenance untuk Kontrak'!$D:$M,10,0)</f>
        <v>45917</v>
      </c>
      <c r="M291" s="5" t="str">
        <f t="shared" si="9"/>
        <v>Sep</v>
      </c>
    </row>
    <row r="292" spans="1:13" x14ac:dyDescent="0.3">
      <c r="A292" s="5">
        <v>288</v>
      </c>
      <c r="B292" s="5" t="s">
        <v>341</v>
      </c>
      <c r="C292" s="5" t="s">
        <v>573</v>
      </c>
      <c r="D292" s="6">
        <v>45676</v>
      </c>
      <c r="E292" s="6" t="str">
        <f t="shared" si="8"/>
        <v>Jan</v>
      </c>
      <c r="F292" s="8" t="s">
        <v>500</v>
      </c>
      <c r="G292" s="8" t="s">
        <v>657</v>
      </c>
      <c r="H292" s="15">
        <f>VLOOKUP(F292,'Counting Free'!$B:$F,4,0)</f>
        <v>0</v>
      </c>
      <c r="I292" s="14">
        <f>VLOOKUP(F292,'Counting Kontrak'!B:E,4,0)</f>
        <v>0</v>
      </c>
      <c r="J292" s="5" t="str">
        <f ca="1">VLOOKUP(F292,'Data Garansi'!$E:$I,5,0)</f>
        <v>Tidak</v>
      </c>
      <c r="K292" s="6">
        <f>VLOOKUP(F292,'Tgl MC Free'!B:M,8,0)</f>
        <v>360</v>
      </c>
      <c r="L292" s="6">
        <f>VLOOKUP(F292,'Tgl Maintenance untuk Kontrak'!$D:$M,10,0)</f>
        <v>46045</v>
      </c>
      <c r="M292" s="5" t="str">
        <f t="shared" si="9"/>
        <v>Jan</v>
      </c>
    </row>
    <row r="293" spans="1:13" x14ac:dyDescent="0.3">
      <c r="A293" s="5">
        <v>289</v>
      </c>
      <c r="B293" s="5" t="s">
        <v>388</v>
      </c>
      <c r="C293" s="5" t="s">
        <v>574</v>
      </c>
      <c r="D293" s="6">
        <v>45681</v>
      </c>
      <c r="E293" s="6" t="str">
        <f t="shared" si="8"/>
        <v>Jul</v>
      </c>
      <c r="F293" s="8" t="s">
        <v>501</v>
      </c>
      <c r="G293" s="8" t="s">
        <v>608</v>
      </c>
      <c r="H293" s="15">
        <f>VLOOKUP(F293,'Counting Free'!$B:$F,4,0)</f>
        <v>0</v>
      </c>
      <c r="I293" s="14">
        <f>VLOOKUP(F293,'Counting Kontrak'!B:E,4,0)</f>
        <v>0</v>
      </c>
      <c r="J293" s="5" t="str">
        <f ca="1">VLOOKUP(F293,'Data Garansi'!$E:$I,5,0)</f>
        <v>Tidak</v>
      </c>
      <c r="K293" s="6">
        <f>VLOOKUP(F293,'Tgl MC Free'!B:M,8,0)</f>
        <v>360</v>
      </c>
      <c r="L293" s="6">
        <f>VLOOKUP(F293,'Tgl Maintenance untuk Kontrak'!$D:$M,10,0)</f>
        <v>46212</v>
      </c>
      <c r="M293" s="5" t="str">
        <f t="shared" si="9"/>
        <v>Jul</v>
      </c>
    </row>
    <row r="294" spans="1:13" x14ac:dyDescent="0.3">
      <c r="A294" s="5">
        <v>290</v>
      </c>
      <c r="B294" s="5" t="s">
        <v>533</v>
      </c>
      <c r="C294" s="5">
        <v>230633</v>
      </c>
      <c r="D294" s="6">
        <v>45688</v>
      </c>
      <c r="E294" s="6" t="str">
        <f t="shared" si="8"/>
        <v>Oct</v>
      </c>
      <c r="F294" s="8" t="s">
        <v>502</v>
      </c>
      <c r="G294" s="8" t="s">
        <v>608</v>
      </c>
      <c r="H294" s="15">
        <f>VLOOKUP(F294,'Counting Free'!$B:$F,4,0)</f>
        <v>0</v>
      </c>
      <c r="I294" s="14">
        <f>VLOOKUP(F294,'Counting Kontrak'!B:E,4,0)</f>
        <v>0</v>
      </c>
      <c r="J294" s="5" t="str">
        <f ca="1">VLOOKUP(F294,'Data Garansi'!$E:$I,5,0)</f>
        <v>Tidak</v>
      </c>
      <c r="K294" s="6">
        <f>VLOOKUP(F294,'Tgl MC Free'!B:M,8,0)</f>
        <v>360</v>
      </c>
      <c r="L294" s="6">
        <f>VLOOKUP(F294,'Tgl Maintenance untuk Kontrak'!$D:$M,10,0)</f>
        <v>45960</v>
      </c>
      <c r="M294" s="5" t="str">
        <f t="shared" si="9"/>
        <v>Oct</v>
      </c>
    </row>
    <row r="295" spans="1:13" x14ac:dyDescent="0.3">
      <c r="A295" s="5">
        <v>291</v>
      </c>
      <c r="B295" s="5" t="s">
        <v>341</v>
      </c>
      <c r="C295" s="5" t="s">
        <v>341</v>
      </c>
      <c r="D295" s="6">
        <v>45688</v>
      </c>
      <c r="E295" s="6" t="str">
        <f t="shared" si="8"/>
        <v>Jul</v>
      </c>
      <c r="F295" s="8" t="s">
        <v>503</v>
      </c>
      <c r="G295" s="8" t="s">
        <v>608</v>
      </c>
      <c r="H295" s="15">
        <f>VLOOKUP(F295,'Counting Free'!$B:$F,4,0)</f>
        <v>0</v>
      </c>
      <c r="I295" s="14">
        <f>VLOOKUP(F295,'Counting Kontrak'!B:E,4,0)</f>
        <v>0</v>
      </c>
      <c r="J295" s="5" t="str">
        <f ca="1">VLOOKUP(F295,'Data Garansi'!$E:$I,5,0)</f>
        <v>Tidak</v>
      </c>
      <c r="K295" s="6">
        <f>VLOOKUP(F295,'Tgl MC Free'!B:M,8,0)</f>
        <v>360</v>
      </c>
      <c r="L295" s="6">
        <f>VLOOKUP(F295,'Tgl Maintenance untuk Kontrak'!$D:$M,10,0)</f>
        <v>45868</v>
      </c>
      <c r="M295" s="5" t="str">
        <f t="shared" si="9"/>
        <v>Jul</v>
      </c>
    </row>
    <row r="296" spans="1:13" x14ac:dyDescent="0.3">
      <c r="A296" s="5">
        <v>292</v>
      </c>
      <c r="B296" s="5" t="s">
        <v>368</v>
      </c>
      <c r="C296" s="5">
        <v>240539</v>
      </c>
      <c r="D296" s="6">
        <v>45694</v>
      </c>
      <c r="E296" s="6" t="str">
        <f t="shared" si="8"/>
        <v>Dec</v>
      </c>
      <c r="F296" s="8" t="s">
        <v>504</v>
      </c>
      <c r="G296" s="8" t="s">
        <v>615</v>
      </c>
      <c r="H296" s="15">
        <f>VLOOKUP(F296,'Counting Free'!$B:$F,4,0)</f>
        <v>0</v>
      </c>
      <c r="I296" s="14">
        <f>VLOOKUP(F296,'Counting Kontrak'!B:E,4,0)</f>
        <v>0</v>
      </c>
      <c r="J296" s="5" t="str">
        <f ca="1">VLOOKUP(F296,'Data Garansi'!$E:$I,5,0)</f>
        <v>Tidak</v>
      </c>
      <c r="K296" s="6">
        <f>VLOOKUP(F296,'Tgl MC Free'!B:M,8,0)</f>
        <v>360</v>
      </c>
      <c r="L296" s="6">
        <f>VLOOKUP(F296,'Tgl Maintenance untuk Kontrak'!$D:$M,10,0)</f>
        <v>46002</v>
      </c>
      <c r="M296" s="5" t="str">
        <f t="shared" si="9"/>
        <v>Dec</v>
      </c>
    </row>
    <row r="297" spans="1:13" x14ac:dyDescent="0.3">
      <c r="A297" s="5">
        <v>293</v>
      </c>
      <c r="B297" s="5" t="s">
        <v>388</v>
      </c>
      <c r="C297" s="5" t="s">
        <v>575</v>
      </c>
      <c r="D297" s="6">
        <v>45700</v>
      </c>
      <c r="E297" s="6" t="str">
        <f t="shared" si="8"/>
        <v>Jan</v>
      </c>
      <c r="F297" s="8" t="s">
        <v>505</v>
      </c>
      <c r="G297" s="8" t="s">
        <v>610</v>
      </c>
      <c r="H297" s="15">
        <f>VLOOKUP(F297,'Counting Free'!$B:$F,4,0)</f>
        <v>0</v>
      </c>
      <c r="I297" s="14">
        <f>VLOOKUP(F297,'Counting Kontrak'!B:E,4,0)</f>
        <v>0</v>
      </c>
      <c r="J297" s="5" t="str">
        <f ca="1">VLOOKUP(F297,'Data Garansi'!$E:$I,5,0)</f>
        <v>Tidak</v>
      </c>
      <c r="K297" s="6">
        <f>VLOOKUP(F297,'Tgl MC Free'!B:M,8,0)</f>
        <v>360</v>
      </c>
      <c r="L297" s="6">
        <f>VLOOKUP(F297,'Tgl Maintenance untuk Kontrak'!$D:$M,10,0)</f>
        <v>46050</v>
      </c>
      <c r="M297" s="5" t="str">
        <f t="shared" si="9"/>
        <v>Jan</v>
      </c>
    </row>
    <row r="298" spans="1:13" x14ac:dyDescent="0.3">
      <c r="A298" s="5">
        <v>294</v>
      </c>
      <c r="B298" s="5" t="s">
        <v>341</v>
      </c>
      <c r="C298" s="5" t="s">
        <v>576</v>
      </c>
      <c r="D298" s="6">
        <v>45705</v>
      </c>
      <c r="E298" s="6" t="str">
        <f t="shared" si="8"/>
        <v>Dec</v>
      </c>
      <c r="F298" s="8" t="s">
        <v>506</v>
      </c>
      <c r="G298" s="8" t="s">
        <v>611</v>
      </c>
      <c r="H298" s="15">
        <f>VLOOKUP(F298,'Counting Free'!$B:$F,4,0)</f>
        <v>0</v>
      </c>
      <c r="I298" s="14">
        <f>VLOOKUP(F298,'Counting Kontrak'!B:E,4,0)</f>
        <v>0</v>
      </c>
      <c r="J298" s="5" t="str">
        <f ca="1">VLOOKUP(F298,'Data Garansi'!$E:$I,5,0)</f>
        <v>Tidak</v>
      </c>
      <c r="K298" s="6">
        <f>VLOOKUP(F298,'Tgl MC Free'!B:M,8,0)</f>
        <v>360</v>
      </c>
      <c r="L298" s="6">
        <f>VLOOKUP(F298,'Tgl Maintenance untuk Kontrak'!$D:$M,10,0)</f>
        <v>45992</v>
      </c>
      <c r="M298" s="5" t="str">
        <f t="shared" si="9"/>
        <v>Dec</v>
      </c>
    </row>
    <row r="299" spans="1:13" x14ac:dyDescent="0.3">
      <c r="A299" s="5">
        <v>295</v>
      </c>
      <c r="B299" s="5" t="s">
        <v>389</v>
      </c>
      <c r="C299" s="5" t="s">
        <v>577</v>
      </c>
      <c r="D299" s="6">
        <v>45715</v>
      </c>
      <c r="E299" s="6" t="str">
        <f t="shared" si="8"/>
        <v>Apr</v>
      </c>
      <c r="F299" s="8" t="s">
        <v>507</v>
      </c>
      <c r="G299" s="8" t="s">
        <v>628</v>
      </c>
      <c r="H299" s="15">
        <f>VLOOKUP(F299,'Counting Free'!$B:$F,4,0)</f>
        <v>0</v>
      </c>
      <c r="I299" s="14">
        <f>VLOOKUP(F299,'Counting Kontrak'!B:E,4,0)</f>
        <v>0</v>
      </c>
      <c r="J299" s="5" t="str">
        <f ca="1">VLOOKUP(F299,'Data Garansi'!$E:$I,5,0)</f>
        <v>Tidak</v>
      </c>
      <c r="K299" s="6">
        <f>VLOOKUP(F299,'Tgl MC Free'!B:M,8,0)</f>
        <v>360</v>
      </c>
      <c r="L299" s="6">
        <f>VLOOKUP(F299,'Tgl Maintenance untuk Kontrak'!$D:$M,10,0)</f>
        <v>46140</v>
      </c>
      <c r="M299" s="5" t="str">
        <f t="shared" si="9"/>
        <v>Apr</v>
      </c>
    </row>
    <row r="300" spans="1:13" x14ac:dyDescent="0.3">
      <c r="A300" s="5">
        <v>296</v>
      </c>
      <c r="B300" s="5" t="s">
        <v>388</v>
      </c>
      <c r="C300" s="5" t="s">
        <v>578</v>
      </c>
      <c r="D300" s="6">
        <v>45715</v>
      </c>
      <c r="E300" s="6" t="str">
        <f t="shared" si="8"/>
        <v>Mar</v>
      </c>
      <c r="F300" s="8" t="s">
        <v>508</v>
      </c>
      <c r="G300" s="8" t="s">
        <v>651</v>
      </c>
      <c r="H300" s="15">
        <f>VLOOKUP(F300,'Counting Free'!$B:$F,4,0)</f>
        <v>0</v>
      </c>
      <c r="I300" s="14">
        <f>VLOOKUP(F300,'Counting Kontrak'!B:E,4,0)</f>
        <v>0</v>
      </c>
      <c r="J300" s="5" t="str">
        <f ca="1">VLOOKUP(F300,'Data Garansi'!$E:$I,5,0)</f>
        <v>Tidak</v>
      </c>
      <c r="K300" s="6">
        <f>VLOOKUP(F300,'Tgl MC Free'!B:M,8,0)</f>
        <v>360</v>
      </c>
      <c r="L300" s="6">
        <f>VLOOKUP(F300,'Tgl Maintenance untuk Kontrak'!$D:$M,10,0)</f>
        <v>46083</v>
      </c>
      <c r="M300" s="5" t="str">
        <f t="shared" si="9"/>
        <v>Mar</v>
      </c>
    </row>
    <row r="301" spans="1:13" x14ac:dyDescent="0.3">
      <c r="A301" s="5">
        <v>297</v>
      </c>
      <c r="B301" s="5" t="s">
        <v>363</v>
      </c>
      <c r="C301" s="5">
        <v>240434</v>
      </c>
      <c r="D301" s="6">
        <v>45720</v>
      </c>
      <c r="E301" s="6" t="str">
        <f t="shared" si="8"/>
        <v>Feb</v>
      </c>
      <c r="F301" s="8" t="s">
        <v>509</v>
      </c>
      <c r="G301" s="8" t="s">
        <v>617</v>
      </c>
      <c r="H301" s="15">
        <f>VLOOKUP(F301,'Counting Free'!$B:$F,4,0)</f>
        <v>0</v>
      </c>
      <c r="I301" s="14">
        <f>VLOOKUP(F301,'Counting Kontrak'!B:E,4,0)</f>
        <v>0</v>
      </c>
      <c r="J301" s="5" t="str">
        <f ca="1">VLOOKUP(F301,'Data Garansi'!$E:$I,5,0)</f>
        <v>Tidak</v>
      </c>
      <c r="K301" s="6">
        <f>VLOOKUP(F301,'Tgl MC Free'!B:M,8,0)</f>
        <v>360</v>
      </c>
      <c r="L301" s="6">
        <f>VLOOKUP(F301,'Tgl Maintenance untuk Kontrak'!$D:$M,10,0)</f>
        <v>46069</v>
      </c>
      <c r="M301" s="5" t="str">
        <f t="shared" si="9"/>
        <v>Feb</v>
      </c>
    </row>
    <row r="302" spans="1:13" x14ac:dyDescent="0.3">
      <c r="A302" s="5">
        <v>298</v>
      </c>
      <c r="B302" s="5" t="s">
        <v>388</v>
      </c>
      <c r="C302" s="5" t="s">
        <v>579</v>
      </c>
      <c r="D302" s="6">
        <v>45733</v>
      </c>
      <c r="E302" s="6" t="str">
        <f t="shared" si="8"/>
        <v>Feb</v>
      </c>
      <c r="F302" s="8" t="s">
        <v>510</v>
      </c>
      <c r="G302" s="8" t="s">
        <v>610</v>
      </c>
      <c r="H302" s="15">
        <f>VLOOKUP(F302,'Counting Free'!$B:$F,4,0)</f>
        <v>0</v>
      </c>
      <c r="I302" s="14">
        <f>VLOOKUP(F302,'Counting Kontrak'!B:E,4,0)</f>
        <v>0</v>
      </c>
      <c r="J302" s="5" t="str">
        <f ca="1">VLOOKUP(F302,'Data Garansi'!$E:$I,5,0)</f>
        <v>Tidak</v>
      </c>
      <c r="K302" s="6">
        <f>VLOOKUP(F302,'Tgl MC Free'!B:M,8,0)</f>
        <v>360</v>
      </c>
      <c r="L302" s="6">
        <f>VLOOKUP(F302,'Tgl Maintenance untuk Kontrak'!$D:$M,10,0)</f>
        <v>46067</v>
      </c>
      <c r="M302" s="5" t="str">
        <f t="shared" si="9"/>
        <v>Feb</v>
      </c>
    </row>
    <row r="303" spans="1:13" x14ac:dyDescent="0.3">
      <c r="A303" s="5">
        <v>299</v>
      </c>
      <c r="B303" s="5" t="s">
        <v>389</v>
      </c>
      <c r="C303" s="5" t="s">
        <v>580</v>
      </c>
      <c r="D303" s="6">
        <v>45733</v>
      </c>
      <c r="E303" s="6" t="str">
        <f t="shared" si="8"/>
        <v>Mar</v>
      </c>
      <c r="F303" s="8" t="s">
        <v>511</v>
      </c>
      <c r="G303" s="8" t="s">
        <v>610</v>
      </c>
      <c r="H303" s="15">
        <f>VLOOKUP(F303,'Counting Free'!$B:$F,4,0)</f>
        <v>0</v>
      </c>
      <c r="I303" s="14">
        <f>VLOOKUP(F303,'Counting Kontrak'!B:E,4,0)</f>
        <v>0</v>
      </c>
      <c r="J303" s="5" t="str">
        <f ca="1">VLOOKUP(F303,'Data Garansi'!$E:$I,5,0)</f>
        <v>Tidak</v>
      </c>
      <c r="K303" s="6">
        <f>VLOOKUP(F303,'Tgl MC Free'!B:M,8,0)</f>
        <v>360</v>
      </c>
      <c r="L303" s="6">
        <f>VLOOKUP(F303,'Tgl Maintenance untuk Kontrak'!$D:$M,10,0)</f>
        <v>46111</v>
      </c>
      <c r="M303" s="5" t="str">
        <f t="shared" si="9"/>
        <v>Mar</v>
      </c>
    </row>
    <row r="304" spans="1:13" x14ac:dyDescent="0.3">
      <c r="A304" s="5">
        <v>300</v>
      </c>
      <c r="B304" s="5" t="s">
        <v>364</v>
      </c>
      <c r="C304" s="5">
        <v>240608</v>
      </c>
      <c r="D304" s="6">
        <v>45735</v>
      </c>
      <c r="E304" s="6" t="str">
        <f t="shared" si="8"/>
        <v>Mar</v>
      </c>
      <c r="F304" s="8" t="s">
        <v>512</v>
      </c>
      <c r="G304" s="8" t="s">
        <v>632</v>
      </c>
      <c r="H304" s="15">
        <f>VLOOKUP(F304,'Counting Free'!$B:$F,4,0)</f>
        <v>0</v>
      </c>
      <c r="I304" s="14">
        <f>VLOOKUP(F304,'Counting Kontrak'!B:E,4,0)</f>
        <v>0</v>
      </c>
      <c r="J304" s="5" t="str">
        <f ca="1">VLOOKUP(F304,'Data Garansi'!$E:$I,5,0)</f>
        <v>Tidak</v>
      </c>
      <c r="K304" s="6">
        <f>VLOOKUP(F304,'Tgl MC Free'!B:M,8,0)</f>
        <v>360</v>
      </c>
      <c r="L304" s="6">
        <f>VLOOKUP(F304,'Tgl Maintenance untuk Kontrak'!$D:$M,10,0)</f>
        <v>46084</v>
      </c>
      <c r="M304" s="5" t="str">
        <f t="shared" si="9"/>
        <v>Mar</v>
      </c>
    </row>
    <row r="305" spans="1:13" x14ac:dyDescent="0.3">
      <c r="A305" s="5">
        <v>301</v>
      </c>
      <c r="B305" s="5" t="s">
        <v>388</v>
      </c>
      <c r="C305" s="5" t="s">
        <v>581</v>
      </c>
      <c r="D305" s="6">
        <v>45737</v>
      </c>
      <c r="E305" s="6" t="str">
        <f t="shared" si="8"/>
        <v>Feb</v>
      </c>
      <c r="F305" s="8" t="s">
        <v>513</v>
      </c>
      <c r="G305" s="8" t="s">
        <v>610</v>
      </c>
      <c r="H305" s="15">
        <f>VLOOKUP(F305,'Counting Free'!$B:$F,4,0)</f>
        <v>0</v>
      </c>
      <c r="I305" s="14">
        <f>VLOOKUP(F305,'Counting Kontrak'!B:E,4,0)</f>
        <v>0</v>
      </c>
      <c r="J305" s="5" t="str">
        <f ca="1">VLOOKUP(F305,'Data Garansi'!$E:$I,5,0)</f>
        <v>Tidak</v>
      </c>
      <c r="K305" s="6">
        <f>VLOOKUP(F305,'Tgl MC Free'!B:M,8,0)</f>
        <v>360</v>
      </c>
      <c r="L305" s="6">
        <f>VLOOKUP(F305,'Tgl Maintenance untuk Kontrak'!$D:$M,10,0)</f>
        <v>46081</v>
      </c>
      <c r="M305" s="5" t="str">
        <f t="shared" si="9"/>
        <v>Feb</v>
      </c>
    </row>
    <row r="306" spans="1:13" x14ac:dyDescent="0.3">
      <c r="A306" s="5">
        <v>302</v>
      </c>
      <c r="B306" s="5" t="s">
        <v>368</v>
      </c>
      <c r="C306" s="5">
        <v>240636</v>
      </c>
      <c r="D306" s="6">
        <v>45741</v>
      </c>
      <c r="E306" s="6" t="str">
        <f t="shared" si="8"/>
        <v>Feb</v>
      </c>
      <c r="F306" s="8" t="s">
        <v>514</v>
      </c>
      <c r="G306" s="8" t="s">
        <v>611</v>
      </c>
      <c r="H306" s="15">
        <f>VLOOKUP(F306,'Counting Free'!$B:$F,4,0)</f>
        <v>0</v>
      </c>
      <c r="I306" s="14">
        <f>VLOOKUP(F306,'Counting Kontrak'!B:E,4,0)</f>
        <v>0</v>
      </c>
      <c r="J306" s="5" t="str">
        <f ca="1">VLOOKUP(F306,'Data Garansi'!$E:$I,5,0)</f>
        <v>Tidak</v>
      </c>
      <c r="K306" s="6">
        <f>VLOOKUP(F306,'Tgl MC Free'!B:M,8,0)</f>
        <v>360</v>
      </c>
      <c r="L306" s="6">
        <f>VLOOKUP(F306,'Tgl Maintenance untuk Kontrak'!$D:$M,10,0)</f>
        <v>46067</v>
      </c>
      <c r="M306" s="5" t="str">
        <f t="shared" si="9"/>
        <v>Feb</v>
      </c>
    </row>
    <row r="307" spans="1:13" x14ac:dyDescent="0.3">
      <c r="A307" s="5">
        <v>303</v>
      </c>
      <c r="B307" s="5" t="s">
        <v>389</v>
      </c>
      <c r="C307" s="5" t="s">
        <v>582</v>
      </c>
      <c r="D307" s="6">
        <v>45744</v>
      </c>
      <c r="E307" s="6" t="str">
        <f t="shared" si="8"/>
        <v>May</v>
      </c>
      <c r="F307" s="8" t="s">
        <v>515</v>
      </c>
      <c r="G307" s="8" t="s">
        <v>639</v>
      </c>
      <c r="H307" s="15">
        <f>VLOOKUP(F307,'Counting Free'!$B:$F,4,0)</f>
        <v>0</v>
      </c>
      <c r="I307" s="14">
        <f>VLOOKUP(F307,'Counting Kontrak'!B:E,4,0)</f>
        <v>0</v>
      </c>
      <c r="J307" s="5" t="str">
        <f ca="1">VLOOKUP(F307,'Data Garansi'!$E:$I,5,0)</f>
        <v>Tidak</v>
      </c>
      <c r="K307" s="6">
        <f>VLOOKUP(F307,'Tgl MC Free'!B:M,8,0)</f>
        <v>360</v>
      </c>
      <c r="L307" s="6">
        <f>VLOOKUP(F307,'Tgl Maintenance untuk Kontrak'!$D:$M,10,0)</f>
        <v>46534</v>
      </c>
      <c r="M307" s="5" t="str">
        <f t="shared" si="9"/>
        <v>May</v>
      </c>
    </row>
    <row r="308" spans="1:13" x14ac:dyDescent="0.3">
      <c r="A308" s="5">
        <v>304</v>
      </c>
      <c r="B308" s="5" t="s">
        <v>341</v>
      </c>
      <c r="C308" s="5" t="s">
        <v>583</v>
      </c>
      <c r="D308" s="6">
        <v>45744</v>
      </c>
      <c r="E308" s="6" t="str">
        <f t="shared" si="8"/>
        <v>Mar</v>
      </c>
      <c r="F308" s="8" t="s">
        <v>516</v>
      </c>
      <c r="G308" s="8" t="s">
        <v>611</v>
      </c>
      <c r="H308" s="15">
        <f>VLOOKUP(F308,'Counting Free'!$B:$F,4,0)</f>
        <v>0</v>
      </c>
      <c r="I308" s="14">
        <f>VLOOKUP(F308,'Counting Kontrak'!B:E,4,0)</f>
        <v>0</v>
      </c>
      <c r="J308" s="5" t="str">
        <f ca="1">VLOOKUP(F308,'Data Garansi'!$E:$I,5,0)</f>
        <v>Tidak</v>
      </c>
      <c r="K308" s="6">
        <f>VLOOKUP(F308,'Tgl MC Free'!B:M,8,0)</f>
        <v>360</v>
      </c>
      <c r="L308" s="6">
        <f>VLOOKUP(F308,'Tgl Maintenance untuk Kontrak'!$D:$M,10,0)</f>
        <v>46082</v>
      </c>
      <c r="M308" s="5" t="str">
        <f t="shared" si="9"/>
        <v>Mar</v>
      </c>
    </row>
    <row r="309" spans="1:13" x14ac:dyDescent="0.3">
      <c r="A309" s="5">
        <v>305</v>
      </c>
      <c r="B309" s="5" t="s">
        <v>367</v>
      </c>
      <c r="C309" s="5" t="s">
        <v>584</v>
      </c>
      <c r="D309" s="6">
        <v>45761</v>
      </c>
      <c r="E309" s="6" t="str">
        <f t="shared" si="8"/>
        <v>Oct</v>
      </c>
      <c r="F309" s="8" t="s">
        <v>517</v>
      </c>
      <c r="G309" s="8" t="s">
        <v>617</v>
      </c>
      <c r="H309" s="15">
        <f>VLOOKUP(F309,'Counting Free'!$B:$F,4,0)</f>
        <v>0</v>
      </c>
      <c r="I309" s="14">
        <f>VLOOKUP(F309,'Counting Kontrak'!B:E,4,0)</f>
        <v>0</v>
      </c>
      <c r="J309" s="5" t="str">
        <f ca="1">VLOOKUP(F309,'Data Garansi'!$E:$I,5,0)</f>
        <v>Tidak</v>
      </c>
      <c r="K309" s="6">
        <f>VLOOKUP(F309,'Tgl MC Free'!B:M,8,0)</f>
        <v>360</v>
      </c>
      <c r="L309" s="6">
        <f>VLOOKUP(F309,'Tgl Maintenance untuk Kontrak'!$D:$M,10,0)</f>
        <v>45945</v>
      </c>
      <c r="M309" s="5" t="str">
        <f t="shared" si="9"/>
        <v>Oct</v>
      </c>
    </row>
    <row r="310" spans="1:13" x14ac:dyDescent="0.3">
      <c r="A310" s="5">
        <v>306</v>
      </c>
      <c r="B310" s="5" t="s">
        <v>388</v>
      </c>
      <c r="C310" s="5" t="s">
        <v>585</v>
      </c>
      <c r="D310" s="6">
        <v>45762</v>
      </c>
      <c r="E310" s="6" t="str">
        <f t="shared" si="8"/>
        <v>Feb</v>
      </c>
      <c r="F310" s="8" t="s">
        <v>518</v>
      </c>
      <c r="G310" s="8" t="s">
        <v>608</v>
      </c>
      <c r="H310" s="15">
        <f>VLOOKUP(F310,'Counting Free'!$B:$F,4,0)</f>
        <v>0</v>
      </c>
      <c r="I310" s="14">
        <f>VLOOKUP(F310,'Counting Kontrak'!B:E,4,0)</f>
        <v>0</v>
      </c>
      <c r="J310" s="5" t="str">
        <f ca="1">VLOOKUP(F310,'Data Garansi'!$E:$I,5,0)</f>
        <v>Tidak</v>
      </c>
      <c r="K310" s="6">
        <f>VLOOKUP(F310,'Tgl MC Free'!B:M,8,0)</f>
        <v>360</v>
      </c>
      <c r="L310" s="6">
        <f>VLOOKUP(F310,'Tgl Maintenance untuk Kontrak'!$D:$M,10,0)</f>
        <v>46068</v>
      </c>
      <c r="M310" s="5" t="str">
        <f t="shared" si="9"/>
        <v>Feb</v>
      </c>
    </row>
    <row r="311" spans="1:13" x14ac:dyDescent="0.3">
      <c r="A311" s="5">
        <v>307</v>
      </c>
      <c r="B311" s="5" t="s">
        <v>388</v>
      </c>
      <c r="C311" s="5" t="s">
        <v>586</v>
      </c>
      <c r="D311" s="6">
        <v>45766</v>
      </c>
      <c r="E311" s="6" t="str">
        <f t="shared" si="8"/>
        <v>May</v>
      </c>
      <c r="F311" s="8" t="s">
        <v>519</v>
      </c>
      <c r="G311" s="8" t="s">
        <v>618</v>
      </c>
      <c r="H311" s="15">
        <f>VLOOKUP(F311,'Counting Free'!$B:$F,4,0)</f>
        <v>0</v>
      </c>
      <c r="I311" s="14">
        <f>VLOOKUP(F311,'Counting Kontrak'!B:E,4,0)</f>
        <v>0</v>
      </c>
      <c r="J311" s="5" t="str">
        <f ca="1">VLOOKUP(F311,'Data Garansi'!$E:$I,5,0)</f>
        <v>Tidak</v>
      </c>
      <c r="K311" s="6">
        <f>VLOOKUP(F311,'Tgl MC Free'!B:M,8,0)</f>
        <v>360</v>
      </c>
      <c r="L311" s="6">
        <f>VLOOKUP(F311,'Tgl Maintenance untuk Kontrak'!$D:$M,10,0)</f>
        <v>46167</v>
      </c>
      <c r="M311" s="5" t="str">
        <f t="shared" si="9"/>
        <v>May</v>
      </c>
    </row>
    <row r="312" spans="1:13" x14ac:dyDescent="0.3">
      <c r="A312" s="5">
        <v>308</v>
      </c>
      <c r="B312" s="5" t="s">
        <v>368</v>
      </c>
      <c r="C312" s="5">
        <v>240760</v>
      </c>
      <c r="D312" s="6">
        <v>45776</v>
      </c>
      <c r="E312" s="6" t="str">
        <f t="shared" si="8"/>
        <v>May</v>
      </c>
      <c r="F312" s="8" t="s">
        <v>520</v>
      </c>
      <c r="G312" s="8" t="s">
        <v>615</v>
      </c>
      <c r="H312" s="15">
        <f>VLOOKUP(F312,'Counting Free'!$B:$F,4,0)</f>
        <v>0</v>
      </c>
      <c r="I312" s="14">
        <f>VLOOKUP(F312,'Counting Kontrak'!B:E,4,0)</f>
        <v>0</v>
      </c>
      <c r="J312" s="5" t="str">
        <f ca="1">VLOOKUP(F312,'Data Garansi'!$E:$I,5,0)</f>
        <v>Tidak</v>
      </c>
      <c r="K312" s="6">
        <f>VLOOKUP(F312,'Tgl MC Free'!B:M,8,0)</f>
        <v>360</v>
      </c>
      <c r="L312" s="6">
        <f>VLOOKUP(F312,'Tgl Maintenance untuk Kontrak'!$D:$M,10,0)</f>
        <v>46144</v>
      </c>
      <c r="M312" s="5" t="str">
        <f t="shared" si="9"/>
        <v>May</v>
      </c>
    </row>
    <row r="313" spans="1:13" x14ac:dyDescent="0.3">
      <c r="A313" s="5">
        <v>309</v>
      </c>
      <c r="B313" s="5" t="s">
        <v>388</v>
      </c>
      <c r="C313" s="5" t="s">
        <v>587</v>
      </c>
      <c r="D313" s="6">
        <v>45782</v>
      </c>
      <c r="E313" s="6" t="str">
        <f t="shared" si="8"/>
        <v>Oct</v>
      </c>
      <c r="F313" s="8" t="s">
        <v>521</v>
      </c>
      <c r="G313" s="8" t="s">
        <v>610</v>
      </c>
      <c r="H313" s="15">
        <f>VLOOKUP(F313,'Counting Free'!$B:$F,4,0)</f>
        <v>0</v>
      </c>
      <c r="I313" s="14">
        <f>VLOOKUP(F313,'Counting Kontrak'!B:E,4,0)</f>
        <v>0</v>
      </c>
      <c r="J313" s="5" t="str">
        <f ca="1">VLOOKUP(F313,'Data Garansi'!$E:$I,5,0)</f>
        <v>Tidak</v>
      </c>
      <c r="K313" s="6">
        <f>VLOOKUP(F313,'Tgl MC Free'!B:M,8,0)</f>
        <v>360</v>
      </c>
      <c r="L313" s="6">
        <f>VLOOKUP(F313,'Tgl Maintenance untuk Kontrak'!$D:$M,10,0)</f>
        <v>45939</v>
      </c>
      <c r="M313" s="5" t="str">
        <f t="shared" si="9"/>
        <v>Oct</v>
      </c>
    </row>
    <row r="314" spans="1:13" x14ac:dyDescent="0.3">
      <c r="A314" s="5">
        <v>310</v>
      </c>
      <c r="B314" s="5" t="s">
        <v>361</v>
      </c>
      <c r="C314" s="5" t="s">
        <v>588</v>
      </c>
      <c r="D314" s="6">
        <v>45782</v>
      </c>
      <c r="E314" s="6" t="str">
        <f t="shared" si="8"/>
        <v>May</v>
      </c>
      <c r="F314" s="8" t="s">
        <v>522</v>
      </c>
      <c r="G314" s="8" t="s">
        <v>608</v>
      </c>
      <c r="H314" s="15">
        <f>VLOOKUP(F314,'Counting Free'!$B:$F,4,0)</f>
        <v>0</v>
      </c>
      <c r="I314" s="14">
        <f>VLOOKUP(F314,'Counting Kontrak'!B:E,4,0)</f>
        <v>0</v>
      </c>
      <c r="J314" s="5" t="str">
        <f ca="1">VLOOKUP(F314,'Data Garansi'!$E:$I,5,0)</f>
        <v>Tidak</v>
      </c>
      <c r="K314" s="6">
        <f>VLOOKUP(F314,'Tgl MC Free'!B:M,8,0)</f>
        <v>360</v>
      </c>
      <c r="L314" s="6">
        <f>VLOOKUP(F314,'Tgl Maintenance untuk Kontrak'!$D:$M,10,0)</f>
        <v>46146</v>
      </c>
      <c r="M314" s="5" t="str">
        <f t="shared" si="9"/>
        <v>May</v>
      </c>
    </row>
    <row r="315" spans="1:13" x14ac:dyDescent="0.3">
      <c r="A315" s="5">
        <v>311</v>
      </c>
      <c r="B315" s="5" t="s">
        <v>341</v>
      </c>
      <c r="C315" s="5" t="s">
        <v>589</v>
      </c>
      <c r="D315" s="6">
        <v>45783</v>
      </c>
      <c r="E315" s="6" t="str">
        <f t="shared" si="8"/>
        <v>Mar</v>
      </c>
      <c r="F315" s="8" t="s">
        <v>523</v>
      </c>
      <c r="G315" s="8" t="s">
        <v>610</v>
      </c>
      <c r="H315" s="15">
        <f>VLOOKUP(F315,'Counting Free'!$B:$F,4,0)</f>
        <v>0</v>
      </c>
      <c r="I315" s="14">
        <f>VLOOKUP(F315,'Counting Kontrak'!B:E,4,0)</f>
        <v>0</v>
      </c>
      <c r="J315" s="5" t="str">
        <f ca="1">VLOOKUP(F315,'Data Garansi'!$E:$I,5,0)</f>
        <v>Tidak</v>
      </c>
      <c r="K315" s="6">
        <f>VLOOKUP(F315,'Tgl MC Free'!B:M,8,0)</f>
        <v>360</v>
      </c>
      <c r="L315" s="6">
        <f>VLOOKUP(F315,'Tgl Maintenance untuk Kontrak'!$D:$M,10,0)</f>
        <v>46103</v>
      </c>
      <c r="M315" s="5" t="str">
        <f t="shared" si="9"/>
        <v>Mar</v>
      </c>
    </row>
    <row r="316" spans="1:13" x14ac:dyDescent="0.3">
      <c r="A316" s="5">
        <v>312</v>
      </c>
      <c r="B316" s="5" t="s">
        <v>364</v>
      </c>
      <c r="C316" s="5">
        <v>240737</v>
      </c>
      <c r="D316" s="6">
        <v>45793</v>
      </c>
      <c r="E316" s="6" t="str">
        <f t="shared" si="8"/>
        <v>Nov</v>
      </c>
      <c r="F316" s="8" t="s">
        <v>524</v>
      </c>
      <c r="G316" s="8" t="s">
        <v>627</v>
      </c>
      <c r="H316" s="15">
        <f>VLOOKUP(F316,'Counting Free'!$B:$F,4,0)</f>
        <v>0</v>
      </c>
      <c r="I316" s="14">
        <f>VLOOKUP(F316,'Counting Kontrak'!B:E,4,0)</f>
        <v>0</v>
      </c>
      <c r="J316" s="5" t="str">
        <f ca="1">VLOOKUP(F316,'Data Garansi'!$E:$I,5,0)</f>
        <v>Garansi</v>
      </c>
      <c r="K316" s="6">
        <f>VLOOKUP(F316,'Tgl MC Free'!B:M,8,0)</f>
        <v>360</v>
      </c>
      <c r="L316" s="6">
        <f>VLOOKUP(F316,'Tgl Maintenance untuk Kontrak'!$D:$M,10,0)</f>
        <v>45973</v>
      </c>
      <c r="M316" s="5" t="str">
        <f t="shared" si="9"/>
        <v>Nov</v>
      </c>
    </row>
    <row r="317" spans="1:13" x14ac:dyDescent="0.3">
      <c r="A317" s="5">
        <v>313</v>
      </c>
      <c r="B317" s="5" t="s">
        <v>389</v>
      </c>
      <c r="C317" s="5" t="s">
        <v>590</v>
      </c>
      <c r="D317" s="6">
        <v>45796</v>
      </c>
      <c r="E317" s="6" t="str">
        <f t="shared" si="8"/>
        <v>Feb</v>
      </c>
      <c r="F317" s="8" t="s">
        <v>525</v>
      </c>
      <c r="G317" s="8" t="s">
        <v>658</v>
      </c>
      <c r="H317" s="15">
        <f>VLOOKUP(F317,'Counting Free'!$B:$F,4,0)</f>
        <v>0</v>
      </c>
      <c r="I317" s="14">
        <f>VLOOKUP(F317,'Counting Kontrak'!B:E,4,0)</f>
        <v>0</v>
      </c>
      <c r="J317" s="5" t="str">
        <f ca="1">VLOOKUP(F317,'Data Garansi'!$E:$I,5,0)</f>
        <v>Garansi</v>
      </c>
      <c r="K317" s="6">
        <f>VLOOKUP(F317,'Tgl MC Free'!B:M,8,0)</f>
        <v>360</v>
      </c>
      <c r="L317" s="6">
        <f>VLOOKUP(F317,'Tgl Maintenance untuk Kontrak'!$D:$M,10,0)</f>
        <v>46078</v>
      </c>
      <c r="M317" s="5" t="str">
        <f t="shared" si="9"/>
        <v>Feb</v>
      </c>
    </row>
    <row r="318" spans="1:13" x14ac:dyDescent="0.3">
      <c r="A318" s="5">
        <v>314</v>
      </c>
      <c r="B318" s="5" t="s">
        <v>388</v>
      </c>
      <c r="C318" s="5" t="s">
        <v>591</v>
      </c>
      <c r="D318" s="6">
        <v>45800</v>
      </c>
      <c r="E318" s="6" t="str">
        <f t="shared" si="8"/>
        <v>Apr</v>
      </c>
      <c r="F318" s="8" t="s">
        <v>526</v>
      </c>
      <c r="G318" s="8" t="s">
        <v>617</v>
      </c>
      <c r="H318" s="15">
        <f>VLOOKUP(F318,'Counting Free'!$B:$F,4,0)</f>
        <v>0</v>
      </c>
      <c r="I318" s="14">
        <f>VLOOKUP(F318,'Counting Kontrak'!B:E,4,0)</f>
        <v>0</v>
      </c>
      <c r="J318" s="5" t="str">
        <f ca="1">VLOOKUP(F318,'Data Garansi'!$E:$I,5,0)</f>
        <v>Garansi</v>
      </c>
      <c r="K318" s="6">
        <f>VLOOKUP(F318,'Tgl MC Free'!B:M,8,0)</f>
        <v>360</v>
      </c>
      <c r="L318" s="6">
        <f>VLOOKUP(F318,'Tgl Maintenance untuk Kontrak'!$D:$M,10,0)</f>
        <v>46126</v>
      </c>
      <c r="M318" s="5" t="str">
        <f t="shared" si="9"/>
        <v>Apr</v>
      </c>
    </row>
    <row r="319" spans="1:13" x14ac:dyDescent="0.3">
      <c r="A319" s="5">
        <v>315</v>
      </c>
      <c r="B319" s="5" t="s">
        <v>389</v>
      </c>
      <c r="C319" s="5" t="s">
        <v>592</v>
      </c>
      <c r="D319" s="6">
        <v>45801</v>
      </c>
      <c r="E319" s="6" t="str">
        <f t="shared" si="8"/>
        <v>May</v>
      </c>
      <c r="F319" s="8" t="s">
        <v>527</v>
      </c>
      <c r="G319" s="8" t="s">
        <v>610</v>
      </c>
      <c r="H319" s="15">
        <f>VLOOKUP(F319,'Counting Free'!$B:$F,4,0)</f>
        <v>0</v>
      </c>
      <c r="I319" s="14">
        <f>VLOOKUP(F319,'Counting Kontrak'!B:E,4,0)</f>
        <v>0</v>
      </c>
      <c r="J319" s="5" t="str">
        <f ca="1">VLOOKUP(F319,'Data Garansi'!$E:$I,5,0)</f>
        <v>Garansi</v>
      </c>
      <c r="K319" s="6">
        <f>VLOOKUP(F319,'Tgl MC Free'!B:M,8,0)</f>
        <v>360</v>
      </c>
      <c r="L319" s="6">
        <f>VLOOKUP(F319,'Tgl Maintenance untuk Kontrak'!$D:$M,10,0)</f>
        <v>46148</v>
      </c>
      <c r="M319" s="5" t="str">
        <f t="shared" si="9"/>
        <v>May</v>
      </c>
    </row>
    <row r="320" spans="1:13" x14ac:dyDescent="0.3">
      <c r="A320" s="5">
        <v>316</v>
      </c>
      <c r="B320" s="5" t="s">
        <v>368</v>
      </c>
      <c r="C320" s="5" t="s">
        <v>593</v>
      </c>
      <c r="D320" s="6">
        <v>45802</v>
      </c>
      <c r="E320" s="6" t="str">
        <f t="shared" si="8"/>
        <v>Nov</v>
      </c>
      <c r="F320" s="8" t="s">
        <v>528</v>
      </c>
      <c r="G320" s="8" t="s">
        <v>615</v>
      </c>
      <c r="H320" s="15">
        <f>VLOOKUP(F320,'Counting Free'!$B:$F,4,0)</f>
        <v>0</v>
      </c>
      <c r="I320" s="14">
        <f>VLOOKUP(F320,'Counting Kontrak'!B:E,4,0)</f>
        <v>0</v>
      </c>
      <c r="J320" s="5" t="str">
        <f ca="1">VLOOKUP(F320,'Data Garansi'!$E:$I,5,0)</f>
        <v>Garansi</v>
      </c>
      <c r="K320" s="6">
        <f>VLOOKUP(F320,'Tgl MC Free'!B:M,8,0)</f>
        <v>360</v>
      </c>
      <c r="L320" s="6">
        <f>VLOOKUP(F320,'Tgl Maintenance untuk Kontrak'!$D:$M,10,0)</f>
        <v>45982</v>
      </c>
      <c r="M320" s="5" t="str">
        <f t="shared" si="9"/>
        <v>Nov</v>
      </c>
    </row>
    <row r="321" spans="1:13" x14ac:dyDescent="0.3">
      <c r="A321" s="5">
        <v>317</v>
      </c>
      <c r="B321" s="5" t="s">
        <v>364</v>
      </c>
      <c r="C321" s="5">
        <v>240735</v>
      </c>
      <c r="D321" s="6">
        <v>45803</v>
      </c>
      <c r="E321" s="6" t="str">
        <f t="shared" si="8"/>
        <v>Apr</v>
      </c>
      <c r="F321" s="8" t="s">
        <v>529</v>
      </c>
      <c r="G321" s="8" t="s">
        <v>608</v>
      </c>
      <c r="H321" s="15">
        <f>VLOOKUP(F321,'Counting Free'!$B:$F,4,0)</f>
        <v>0</v>
      </c>
      <c r="I321" s="14">
        <f>VLOOKUP(F321,'Counting Kontrak'!B:E,4,0)</f>
        <v>0</v>
      </c>
      <c r="J321" s="5" t="str">
        <f ca="1">VLOOKUP(F321,'Data Garansi'!$E:$I,5,0)</f>
        <v>Garansi</v>
      </c>
      <c r="K321" s="6">
        <f>VLOOKUP(F321,'Tgl MC Free'!B:M,8,0)</f>
        <v>360</v>
      </c>
      <c r="L321" s="6">
        <f>VLOOKUP(F321,'Tgl Maintenance untuk Kontrak'!$D:$M,10,0)</f>
        <v>46132</v>
      </c>
      <c r="M321" s="5" t="str">
        <f t="shared" si="9"/>
        <v>Apr</v>
      </c>
    </row>
    <row r="322" spans="1:13" x14ac:dyDescent="0.3">
      <c r="A322" s="5">
        <v>318</v>
      </c>
      <c r="B322" s="5" t="s">
        <v>389</v>
      </c>
      <c r="C322" s="5" t="s">
        <v>594</v>
      </c>
      <c r="D322" s="6">
        <v>45805</v>
      </c>
      <c r="E322" s="6" t="str">
        <f t="shared" si="8"/>
        <v>Oct</v>
      </c>
      <c r="F322" s="8" t="s">
        <v>530</v>
      </c>
      <c r="G322" s="8" t="s">
        <v>627</v>
      </c>
      <c r="H322" s="15">
        <f>VLOOKUP(F322,'Counting Free'!$B:$F,4,0)</f>
        <v>0</v>
      </c>
      <c r="I322" s="14">
        <f>VLOOKUP(F322,'Counting Kontrak'!B:E,4,0)</f>
        <v>0</v>
      </c>
      <c r="J322" s="5" t="str">
        <f ca="1">VLOOKUP(F322,'Data Garansi'!$E:$I,5,0)</f>
        <v>Garansi</v>
      </c>
      <c r="K322" s="6">
        <f>VLOOKUP(F322,'Tgl MC Free'!B:M,8,0)</f>
        <v>360</v>
      </c>
      <c r="L322" s="6">
        <f>VLOOKUP(F322,'Tgl Maintenance untuk Kontrak'!$D:$M,10,0)</f>
        <v>45958</v>
      </c>
      <c r="M322" s="5" t="str">
        <f t="shared" si="9"/>
        <v>Oct</v>
      </c>
    </row>
    <row r="323" spans="1:13" x14ac:dyDescent="0.3">
      <c r="A323" s="5">
        <v>319</v>
      </c>
      <c r="B323" t="s">
        <v>368</v>
      </c>
      <c r="C323" t="s">
        <v>966</v>
      </c>
      <c r="D323" s="1">
        <v>45818</v>
      </c>
      <c r="E323" s="6"/>
      <c r="F323" t="s">
        <v>967</v>
      </c>
      <c r="G323" s="1" t="s">
        <v>1032</v>
      </c>
    </row>
    <row r="324" spans="1:13" x14ac:dyDescent="0.3">
      <c r="A324" s="5">
        <v>320</v>
      </c>
      <c r="B324" t="s">
        <v>368</v>
      </c>
      <c r="C324" t="s">
        <v>972</v>
      </c>
      <c r="D324" s="1">
        <v>45822</v>
      </c>
      <c r="F324" t="s">
        <v>481</v>
      </c>
      <c r="G324" s="1" t="s">
        <v>1032</v>
      </c>
    </row>
    <row r="325" spans="1:13" x14ac:dyDescent="0.3">
      <c r="A325" s="5">
        <v>321</v>
      </c>
      <c r="B325" t="s">
        <v>388</v>
      </c>
      <c r="C325" t="s">
        <v>571</v>
      </c>
      <c r="D325" s="1">
        <v>45824</v>
      </c>
      <c r="F325" t="s">
        <v>968</v>
      </c>
      <c r="G325" s="1" t="s">
        <v>1592</v>
      </c>
    </row>
    <row r="326" spans="1:13" x14ac:dyDescent="0.3">
      <c r="A326" s="5">
        <v>322</v>
      </c>
      <c r="B326" t="s">
        <v>388</v>
      </c>
      <c r="C326" t="s">
        <v>973</v>
      </c>
      <c r="D326" s="1">
        <v>45826</v>
      </c>
      <c r="F326" t="s">
        <v>969</v>
      </c>
      <c r="G326" s="1" t="s">
        <v>1593</v>
      </c>
    </row>
    <row r="327" spans="1:13" x14ac:dyDescent="0.3">
      <c r="A327" s="5">
        <v>323</v>
      </c>
      <c r="B327" t="s">
        <v>368</v>
      </c>
      <c r="C327" t="s">
        <v>971</v>
      </c>
      <c r="D327" s="1">
        <v>45831</v>
      </c>
      <c r="F327" t="s">
        <v>970</v>
      </c>
      <c r="G327" s="1" t="s">
        <v>627</v>
      </c>
    </row>
    <row r="328" spans="1:13" x14ac:dyDescent="0.3">
      <c r="A328" s="5">
        <v>324</v>
      </c>
      <c r="B328" t="s">
        <v>389</v>
      </c>
      <c r="C328" t="s">
        <v>985</v>
      </c>
      <c r="D328" s="1">
        <v>45842</v>
      </c>
      <c r="F328" t="s">
        <v>974</v>
      </c>
      <c r="G328" s="1" t="s">
        <v>1032</v>
      </c>
    </row>
    <row r="329" spans="1:13" x14ac:dyDescent="0.3">
      <c r="A329" s="5">
        <v>325</v>
      </c>
      <c r="B329" t="s">
        <v>341</v>
      </c>
      <c r="C329" t="s">
        <v>986</v>
      </c>
      <c r="D329" s="1">
        <v>45849</v>
      </c>
      <c r="F329" t="s">
        <v>987</v>
      </c>
      <c r="G329" s="1" t="s">
        <v>617</v>
      </c>
    </row>
    <row r="330" spans="1:13" x14ac:dyDescent="0.3">
      <c r="A330" s="5">
        <v>326</v>
      </c>
      <c r="B330" t="s">
        <v>388</v>
      </c>
      <c r="C330" t="s">
        <v>984</v>
      </c>
      <c r="D330" s="1">
        <v>45849</v>
      </c>
      <c r="F330" t="s">
        <v>975</v>
      </c>
      <c r="G330" s="1" t="s">
        <v>622</v>
      </c>
    </row>
    <row r="331" spans="1:13" x14ac:dyDescent="0.3">
      <c r="A331" s="5">
        <v>327</v>
      </c>
      <c r="B331" t="s">
        <v>982</v>
      </c>
      <c r="C331" t="s">
        <v>983</v>
      </c>
      <c r="D331" s="1">
        <v>45850</v>
      </c>
      <c r="F331" t="s">
        <v>976</v>
      </c>
      <c r="G331" s="1" t="s">
        <v>1032</v>
      </c>
    </row>
    <row r="332" spans="1:13" x14ac:dyDescent="0.3">
      <c r="A332" s="5">
        <v>328</v>
      </c>
      <c r="B332" t="s">
        <v>368</v>
      </c>
      <c r="C332" t="s">
        <v>981</v>
      </c>
      <c r="D332" s="1">
        <v>45866</v>
      </c>
      <c r="F332" t="s">
        <v>977</v>
      </c>
      <c r="G332" s="1" t="s">
        <v>654</v>
      </c>
    </row>
    <row r="333" spans="1:13" x14ac:dyDescent="0.3">
      <c r="A333" s="5">
        <v>329</v>
      </c>
      <c r="B333" t="s">
        <v>388</v>
      </c>
      <c r="C333" t="s">
        <v>956</v>
      </c>
      <c r="D333" s="1">
        <v>45866</v>
      </c>
      <c r="F333" t="s">
        <v>978</v>
      </c>
      <c r="G333" s="1" t="s">
        <v>1594</v>
      </c>
    </row>
    <row r="334" spans="1:13" x14ac:dyDescent="0.3">
      <c r="A334" s="5">
        <v>330</v>
      </c>
      <c r="B334" t="s">
        <v>341</v>
      </c>
      <c r="C334" t="s">
        <v>980</v>
      </c>
      <c r="D334" s="1">
        <v>45868</v>
      </c>
      <c r="F334" t="s">
        <v>979</v>
      </c>
      <c r="G334" s="1" t="s">
        <v>639</v>
      </c>
    </row>
    <row r="335" spans="1:13" x14ac:dyDescent="0.3">
      <c r="A335" s="5">
        <v>331</v>
      </c>
      <c r="B335" t="s">
        <v>388</v>
      </c>
      <c r="C335" t="s">
        <v>988</v>
      </c>
      <c r="D335" s="1">
        <v>45894</v>
      </c>
      <c r="F335" t="s">
        <v>990</v>
      </c>
      <c r="G335" s="1" t="s">
        <v>608</v>
      </c>
    </row>
    <row r="336" spans="1:13" x14ac:dyDescent="0.3">
      <c r="A336" s="5">
        <v>332</v>
      </c>
      <c r="B336" t="s">
        <v>341</v>
      </c>
      <c r="C336" t="s">
        <v>980</v>
      </c>
      <c r="D336" s="1">
        <v>45897</v>
      </c>
      <c r="F336" t="s">
        <v>989</v>
      </c>
      <c r="G336" s="1" t="s">
        <v>1595</v>
      </c>
    </row>
    <row r="337" spans="1:7" x14ac:dyDescent="0.3">
      <c r="A337" s="5">
        <v>333</v>
      </c>
      <c r="B337" t="s">
        <v>389</v>
      </c>
      <c r="C337" t="s">
        <v>995</v>
      </c>
      <c r="D337" s="1">
        <v>45911</v>
      </c>
      <c r="F337" t="s">
        <v>991</v>
      </c>
      <c r="G337" s="1" t="s">
        <v>636</v>
      </c>
    </row>
    <row r="338" spans="1:7" x14ac:dyDescent="0.3">
      <c r="A338" s="5">
        <v>334</v>
      </c>
      <c r="B338" t="s">
        <v>364</v>
      </c>
      <c r="C338" t="s">
        <v>994</v>
      </c>
      <c r="D338" s="1">
        <v>45923</v>
      </c>
      <c r="F338" t="s">
        <v>992</v>
      </c>
      <c r="G338" s="1" t="s">
        <v>1595</v>
      </c>
    </row>
    <row r="339" spans="1:7" x14ac:dyDescent="0.3">
      <c r="A339" s="5">
        <v>335</v>
      </c>
      <c r="B339" t="s">
        <v>207</v>
      </c>
      <c r="C339" t="s">
        <v>996</v>
      </c>
      <c r="D339" s="1">
        <v>45926</v>
      </c>
      <c r="F339" t="s">
        <v>993</v>
      </c>
      <c r="G339" s="1" t="s">
        <v>615</v>
      </c>
    </row>
    <row r="340" spans="1:7" x14ac:dyDescent="0.3">
      <c r="A340" s="5">
        <v>336</v>
      </c>
      <c r="B340" t="s">
        <v>368</v>
      </c>
      <c r="C340" t="s">
        <v>1003</v>
      </c>
      <c r="D340" s="1">
        <v>45940</v>
      </c>
      <c r="F340" t="s">
        <v>997</v>
      </c>
      <c r="G340" s="1" t="s">
        <v>1032</v>
      </c>
    </row>
    <row r="341" spans="1:7" x14ac:dyDescent="0.3">
      <c r="A341" s="5">
        <v>337</v>
      </c>
      <c r="B341" t="s">
        <v>364</v>
      </c>
      <c r="C341" t="s">
        <v>1004</v>
      </c>
      <c r="D341" s="1">
        <v>45947</v>
      </c>
      <c r="F341" t="s">
        <v>998</v>
      </c>
      <c r="G341" s="1" t="s">
        <v>1595</v>
      </c>
    </row>
    <row r="342" spans="1:7" x14ac:dyDescent="0.3">
      <c r="A342" s="5">
        <v>338</v>
      </c>
      <c r="B342" t="s">
        <v>389</v>
      </c>
      <c r="C342" t="s">
        <v>1005</v>
      </c>
      <c r="D342" s="1">
        <v>45954</v>
      </c>
      <c r="F342" t="s">
        <v>999</v>
      </c>
      <c r="G342" s="1" t="s">
        <v>627</v>
      </c>
    </row>
    <row r="343" spans="1:7" x14ac:dyDescent="0.3">
      <c r="A343" s="5">
        <v>339</v>
      </c>
      <c r="B343" t="s">
        <v>389</v>
      </c>
      <c r="C343" t="s">
        <v>1006</v>
      </c>
      <c r="D343" s="1">
        <v>45957</v>
      </c>
      <c r="F343" t="s">
        <v>1007</v>
      </c>
      <c r="G343" s="1" t="s">
        <v>608</v>
      </c>
    </row>
    <row r="344" spans="1:7" x14ac:dyDescent="0.3">
      <c r="A344" s="5">
        <v>340</v>
      </c>
      <c r="B344" t="s">
        <v>1009</v>
      </c>
      <c r="C344" t="s">
        <v>1008</v>
      </c>
      <c r="D344" s="1">
        <v>45958</v>
      </c>
      <c r="F344" t="s">
        <v>1002</v>
      </c>
      <c r="G344" s="1" t="s">
        <v>622</v>
      </c>
    </row>
    <row r="345" spans="1:7" x14ac:dyDescent="0.3">
      <c r="A345" s="5">
        <v>341</v>
      </c>
      <c r="B345" t="s">
        <v>368</v>
      </c>
      <c r="C345" t="s">
        <v>1011</v>
      </c>
      <c r="D345" s="1">
        <v>45958</v>
      </c>
      <c r="F345" t="s">
        <v>1000</v>
      </c>
      <c r="G345" s="1" t="s">
        <v>632</v>
      </c>
    </row>
    <row r="346" spans="1:7" x14ac:dyDescent="0.3">
      <c r="A346" s="5">
        <v>342</v>
      </c>
      <c r="B346" t="s">
        <v>368</v>
      </c>
      <c r="C346" t="s">
        <v>1010</v>
      </c>
      <c r="D346" s="1">
        <v>45958</v>
      </c>
      <c r="F346" t="s">
        <v>1001</v>
      </c>
      <c r="G346" s="1" t="s">
        <v>632</v>
      </c>
    </row>
    <row r="347" spans="1:7" x14ac:dyDescent="0.3">
      <c r="A347" s="5">
        <v>343</v>
      </c>
      <c r="B347" t="s">
        <v>389</v>
      </c>
      <c r="C347" t="s">
        <v>1018</v>
      </c>
      <c r="D347" s="1">
        <v>45979</v>
      </c>
      <c r="F347" t="s">
        <v>1012</v>
      </c>
      <c r="G347" s="1" t="s">
        <v>615</v>
      </c>
    </row>
    <row r="348" spans="1:7" x14ac:dyDescent="0.3">
      <c r="A348" s="5">
        <v>344</v>
      </c>
      <c r="B348" t="s">
        <v>368</v>
      </c>
      <c r="C348" t="s">
        <v>1019</v>
      </c>
      <c r="D348" s="1">
        <v>45979</v>
      </c>
      <c r="F348" t="s">
        <v>1013</v>
      </c>
      <c r="G348" s="1" t="s">
        <v>608</v>
      </c>
    </row>
    <row r="349" spans="1:7" x14ac:dyDescent="0.3">
      <c r="A349" s="5">
        <v>345</v>
      </c>
      <c r="B349" t="s">
        <v>388</v>
      </c>
      <c r="C349" t="s">
        <v>1020</v>
      </c>
      <c r="D349" s="1">
        <v>45982</v>
      </c>
      <c r="F349" t="s">
        <v>1014</v>
      </c>
      <c r="G349" s="1" t="s">
        <v>1595</v>
      </c>
    </row>
    <row r="350" spans="1:7" x14ac:dyDescent="0.3">
      <c r="A350" s="5">
        <v>346</v>
      </c>
      <c r="B350" t="s">
        <v>388</v>
      </c>
      <c r="C350" t="s">
        <v>1021</v>
      </c>
      <c r="D350" s="1">
        <v>45985</v>
      </c>
      <c r="F350" t="s">
        <v>1015</v>
      </c>
      <c r="G350" s="1" t="s">
        <v>1595</v>
      </c>
    </row>
    <row r="351" spans="1:7" x14ac:dyDescent="0.3">
      <c r="A351" s="5">
        <v>347</v>
      </c>
      <c r="B351" t="s">
        <v>388</v>
      </c>
      <c r="C351" t="s">
        <v>1022</v>
      </c>
      <c r="D351" s="1">
        <v>45985</v>
      </c>
      <c r="F351" t="s">
        <v>1023</v>
      </c>
      <c r="G351" s="1" t="s">
        <v>617</v>
      </c>
    </row>
    <row r="352" spans="1:7" x14ac:dyDescent="0.3">
      <c r="A352" s="5">
        <v>348</v>
      </c>
      <c r="B352" t="s">
        <v>341</v>
      </c>
      <c r="C352" t="s">
        <v>1024</v>
      </c>
      <c r="D352" s="1">
        <v>45985</v>
      </c>
      <c r="F352" t="s">
        <v>1016</v>
      </c>
      <c r="G352" s="1" t="s">
        <v>627</v>
      </c>
    </row>
    <row r="353" spans="1:7" x14ac:dyDescent="0.3">
      <c r="A353" s="5">
        <v>349</v>
      </c>
      <c r="B353" t="s">
        <v>368</v>
      </c>
      <c r="C353" t="s">
        <v>1025</v>
      </c>
      <c r="D353" s="1">
        <v>45986</v>
      </c>
      <c r="F353" t="s">
        <v>1017</v>
      </c>
      <c r="G353" s="1" t="s">
        <v>618</v>
      </c>
    </row>
    <row r="354" spans="1:7" x14ac:dyDescent="0.3">
      <c r="A354" s="5">
        <v>350</v>
      </c>
      <c r="B354" t="s">
        <v>387</v>
      </c>
      <c r="C354" t="s">
        <v>1027</v>
      </c>
      <c r="D354" s="1">
        <v>45993</v>
      </c>
      <c r="F354" t="s">
        <v>1026</v>
      </c>
      <c r="G354" s="1" t="s">
        <v>1596</v>
      </c>
    </row>
    <row r="355" spans="1:7" x14ac:dyDescent="0.3">
      <c r="A355" s="5">
        <v>351</v>
      </c>
      <c r="B355" t="s">
        <v>388</v>
      </c>
      <c r="C355" t="s">
        <v>1028</v>
      </c>
      <c r="D355" s="1">
        <v>45993</v>
      </c>
      <c r="F355" t="s">
        <v>1030</v>
      </c>
      <c r="G355" s="1" t="s">
        <v>1032</v>
      </c>
    </row>
    <row r="356" spans="1:7" x14ac:dyDescent="0.3">
      <c r="A356" s="5">
        <v>352</v>
      </c>
      <c r="B356" t="s">
        <v>341</v>
      </c>
      <c r="C356" t="s">
        <v>1024</v>
      </c>
      <c r="D356" s="1">
        <v>45999</v>
      </c>
      <c r="F356" t="s">
        <v>1029</v>
      </c>
      <c r="G356" s="1" t="s">
        <v>612</v>
      </c>
    </row>
  </sheetData>
  <autoFilter ref="A1:Q322">
    <sortState ref="A2:Q322">
      <sortCondition ref="D1:D322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56"/>
  <sheetViews>
    <sheetView workbookViewId="0">
      <selection activeCell="D322" sqref="D322"/>
    </sheetView>
  </sheetViews>
  <sheetFormatPr defaultRowHeight="14.4" x14ac:dyDescent="0.3"/>
  <cols>
    <col min="1" max="1" width="4" style="5" bestFit="1" customWidth="1"/>
    <col min="2" max="2" width="52.109375" style="8" bestFit="1" customWidth="1"/>
    <col min="3" max="3" width="14.109375" style="5" bestFit="1" customWidth="1"/>
    <col min="4" max="4" width="18.6640625" style="5" bestFit="1" customWidth="1"/>
    <col min="5" max="5" width="16.5546875" style="5" bestFit="1" customWidth="1"/>
    <col min="6" max="6" width="12.88671875" style="5" bestFit="1" customWidth="1"/>
    <col min="7" max="16384" width="8.88671875" style="5"/>
  </cols>
  <sheetData>
    <row r="1" spans="1:6" x14ac:dyDescent="0.3">
      <c r="A1" s="4" t="s">
        <v>0</v>
      </c>
      <c r="B1" s="4" t="s">
        <v>1</v>
      </c>
      <c r="C1" s="4" t="s">
        <v>417</v>
      </c>
      <c r="D1" s="4" t="s">
        <v>406</v>
      </c>
      <c r="E1" s="4" t="s">
        <v>404</v>
      </c>
      <c r="F1" s="4" t="s">
        <v>391</v>
      </c>
    </row>
    <row r="2" spans="1:6" x14ac:dyDescent="0.3">
      <c r="A2" s="5">
        <v>1</v>
      </c>
      <c r="B2" s="8" t="s">
        <v>23</v>
      </c>
      <c r="C2" s="5">
        <f>SUMIF('Counting Free'!B:B,'Main Data Kunjungan'!B2,'Counting Kontrak'!E:E)</f>
        <v>0</v>
      </c>
      <c r="D2" s="5">
        <f>SUMIF('Counting Kontrak'!$B:$B,'Main Data Kunjungan'!B2,'Counting Kontrak'!$C:$C)</f>
        <v>0</v>
      </c>
      <c r="E2" s="5">
        <f>SUMIF('Counting Kontrak'!$F:$F,B2,'Counting Kontrak'!$G:$G)</f>
        <v>0</v>
      </c>
      <c r="F2" s="5">
        <f>C2+D2-E2</f>
        <v>0</v>
      </c>
    </row>
    <row r="3" spans="1:6" x14ac:dyDescent="0.3">
      <c r="A3" s="5">
        <v>2</v>
      </c>
      <c r="B3" s="8" t="s">
        <v>22</v>
      </c>
      <c r="C3" s="5">
        <f>SUMIF('Counting Free'!B:B,'Main Data Kunjungan'!B3,'Counting Kontrak'!E:E)</f>
        <v>0</v>
      </c>
      <c r="D3" s="5">
        <f>SUMIF('Counting Kontrak'!$B:$B,'Main Data Kunjungan'!B3,'Counting Kontrak'!$C:$C)</f>
        <v>0</v>
      </c>
      <c r="E3" s="5">
        <f>SUMIF('Counting Kontrak'!$F:$F,B3,'Counting Kontrak'!$G:$G)</f>
        <v>0</v>
      </c>
      <c r="F3" s="5">
        <f t="shared" ref="F3:F66" si="0">C3+D3-E3</f>
        <v>0</v>
      </c>
    </row>
    <row r="4" spans="1:6" x14ac:dyDescent="0.3">
      <c r="A4" s="5">
        <v>3</v>
      </c>
      <c r="B4" s="8" t="s">
        <v>3</v>
      </c>
      <c r="C4" s="5">
        <f>SUMIF('Counting Free'!B:B,'Main Data Kunjungan'!B4,'Counting Kontrak'!E:E)</f>
        <v>0</v>
      </c>
      <c r="D4" s="5">
        <f>SUMIF('Counting Kontrak'!$B:$B,'Main Data Kunjungan'!B4,'Counting Kontrak'!$C:$C)</f>
        <v>0</v>
      </c>
      <c r="E4" s="5">
        <f>SUMIF('Counting Kontrak'!$F:$F,B4,'Counting Kontrak'!$G:$G)</f>
        <v>0</v>
      </c>
      <c r="F4" s="5">
        <f t="shared" si="0"/>
        <v>0</v>
      </c>
    </row>
    <row r="5" spans="1:6" x14ac:dyDescent="0.3">
      <c r="A5" s="5">
        <v>4</v>
      </c>
      <c r="B5" s="8" t="s">
        <v>4</v>
      </c>
      <c r="C5" s="5">
        <f>SUMIF('Counting Free'!B:B,'Main Data Kunjungan'!B5,'Counting Kontrak'!E:E)</f>
        <v>0</v>
      </c>
      <c r="D5" s="5">
        <f>SUMIF('Counting Kontrak'!$B:$B,'Main Data Kunjungan'!B5,'Counting Kontrak'!$C:$C)</f>
        <v>0</v>
      </c>
      <c r="E5" s="5">
        <f>SUMIF('Counting Kontrak'!$F:$F,B5,'Counting Kontrak'!$G:$G)</f>
        <v>0</v>
      </c>
      <c r="F5" s="5">
        <f t="shared" si="0"/>
        <v>0</v>
      </c>
    </row>
    <row r="6" spans="1:6" x14ac:dyDescent="0.3">
      <c r="A6" s="5">
        <v>5</v>
      </c>
      <c r="B6" s="8" t="s">
        <v>2</v>
      </c>
      <c r="C6" s="5">
        <f>SUMIF('Counting Free'!B:B,'Main Data Kunjungan'!B6,'Counting Free'!F:F)</f>
        <v>0</v>
      </c>
      <c r="D6" s="5">
        <f>SUMIF('Counting Kontrak'!$B:$B,'Main Data Kunjungan'!B6,'Counting Kontrak'!$C:$C)</f>
        <v>14</v>
      </c>
      <c r="E6" s="5">
        <f>SUMIF('Counting Kontrak'!$F:$F,B6,'Counting Kontrak'!$G:$G)</f>
        <v>1</v>
      </c>
      <c r="F6" s="5">
        <f t="shared" si="0"/>
        <v>13</v>
      </c>
    </row>
    <row r="7" spans="1:6" x14ac:dyDescent="0.3">
      <c r="A7" s="5">
        <v>6</v>
      </c>
      <c r="B7" s="8" t="s">
        <v>9</v>
      </c>
      <c r="C7" s="5">
        <f>SUMIF('Counting Free'!B:B,'Main Data Kunjungan'!B7,'Counting Kontrak'!E:E)</f>
        <v>0</v>
      </c>
      <c r="D7" s="5">
        <f>SUMIF('Counting Kontrak'!$B:$B,'Main Data Kunjungan'!B7,'Counting Kontrak'!$C:$C)</f>
        <v>0</v>
      </c>
      <c r="E7" s="5">
        <f>SUMIF('Counting Kontrak'!$F:$F,B7,'Counting Kontrak'!$G:$G)</f>
        <v>0</v>
      </c>
      <c r="F7" s="5">
        <f t="shared" si="0"/>
        <v>0</v>
      </c>
    </row>
    <row r="8" spans="1:6" x14ac:dyDescent="0.3">
      <c r="A8" s="5">
        <v>7</v>
      </c>
      <c r="B8" s="8" t="s">
        <v>14</v>
      </c>
      <c r="C8" s="5">
        <f>SUMIF('Counting Free'!B:B,'Main Data Kunjungan'!B8,'Counting Kontrak'!E:E)</f>
        <v>0</v>
      </c>
      <c r="D8" s="5">
        <f>SUMIF('Counting Kontrak'!$B:$B,'Main Data Kunjungan'!B8,'Counting Kontrak'!$C:$C)</f>
        <v>0</v>
      </c>
      <c r="E8" s="5">
        <f>SUMIF('Counting Kontrak'!$F:$F,B8,'Counting Kontrak'!$G:$G)</f>
        <v>0</v>
      </c>
      <c r="F8" s="5">
        <f t="shared" si="0"/>
        <v>0</v>
      </c>
    </row>
    <row r="9" spans="1:6" x14ac:dyDescent="0.3">
      <c r="A9" s="5">
        <v>8</v>
      </c>
      <c r="B9" s="8" t="s">
        <v>8</v>
      </c>
      <c r="C9" s="5">
        <f>SUMIF('Counting Free'!B:B,'Main Data Kunjungan'!B9,'Counting Kontrak'!E:E)</f>
        <v>0</v>
      </c>
      <c r="D9" s="5">
        <f>SUMIF('Counting Kontrak'!$B:$B,'Main Data Kunjungan'!B9,'Counting Kontrak'!$C:$C)</f>
        <v>0</v>
      </c>
      <c r="E9" s="5">
        <f>SUMIF('Counting Kontrak'!$F:$F,B9,'Counting Kontrak'!$G:$G)</f>
        <v>0</v>
      </c>
      <c r="F9" s="5">
        <f t="shared" si="0"/>
        <v>0</v>
      </c>
    </row>
    <row r="10" spans="1:6" x14ac:dyDescent="0.3">
      <c r="A10" s="5">
        <v>9</v>
      </c>
      <c r="B10" s="8" t="s">
        <v>20</v>
      </c>
      <c r="C10" s="5">
        <f>SUMIF('Counting Free'!B:B,'Main Data Kunjungan'!B10,'Counting Kontrak'!E:E)</f>
        <v>0</v>
      </c>
      <c r="D10" s="5">
        <f>SUMIF('Counting Kontrak'!$B:$B,'Main Data Kunjungan'!B10,'Counting Kontrak'!$C:$C)</f>
        <v>0</v>
      </c>
      <c r="E10" s="5">
        <f>SUMIF('Counting Kontrak'!$F:$F,B10,'Counting Kontrak'!$G:$G)</f>
        <v>0</v>
      </c>
      <c r="F10" s="5">
        <f t="shared" si="0"/>
        <v>0</v>
      </c>
    </row>
    <row r="11" spans="1:6" x14ac:dyDescent="0.3">
      <c r="A11" s="5">
        <v>10</v>
      </c>
      <c r="B11" s="8" t="s">
        <v>17</v>
      </c>
      <c r="C11" s="5">
        <f>SUMIF('Counting Free'!B:B,'Main Data Kunjungan'!B11,'Counting Kontrak'!E:E)</f>
        <v>0</v>
      </c>
      <c r="D11" s="5">
        <f>SUMIF('Counting Kontrak'!$B:$B,'Main Data Kunjungan'!B11,'Counting Kontrak'!$C:$C)</f>
        <v>0</v>
      </c>
      <c r="E11" s="5">
        <f>SUMIF('Counting Kontrak'!$F:$F,B11,'Counting Kontrak'!$G:$G)</f>
        <v>0</v>
      </c>
      <c r="F11" s="5">
        <f t="shared" si="0"/>
        <v>0</v>
      </c>
    </row>
    <row r="12" spans="1:6" x14ac:dyDescent="0.3">
      <c r="A12" s="5">
        <v>11</v>
      </c>
      <c r="B12" s="8" t="s">
        <v>21</v>
      </c>
      <c r="C12" s="5">
        <f>SUMIF('Counting Free'!B:B,'Main Data Kunjungan'!B12,'Counting Kontrak'!E:E)</f>
        <v>0</v>
      </c>
      <c r="D12" s="5">
        <f>SUMIF('Counting Kontrak'!$B:$B,'Main Data Kunjungan'!B12,'Counting Kontrak'!$C:$C)</f>
        <v>0</v>
      </c>
      <c r="E12" s="5">
        <f>SUMIF('Counting Kontrak'!$F:$F,B12,'Counting Kontrak'!$G:$G)</f>
        <v>0</v>
      </c>
      <c r="F12" s="5">
        <f t="shared" si="0"/>
        <v>0</v>
      </c>
    </row>
    <row r="13" spans="1:6" x14ac:dyDescent="0.3">
      <c r="A13" s="5">
        <v>12</v>
      </c>
      <c r="B13" s="8" t="s">
        <v>11</v>
      </c>
      <c r="C13" s="5">
        <f>SUMIF('Counting Free'!B:B,'Main Data Kunjungan'!B13,'Counting Kontrak'!E:E)</f>
        <v>0</v>
      </c>
      <c r="D13" s="5">
        <f>SUMIF('Counting Kontrak'!$B:$B,'Main Data Kunjungan'!B13,'Counting Kontrak'!$C:$C)</f>
        <v>0</v>
      </c>
      <c r="E13" s="5">
        <f>SUMIF('Counting Kontrak'!$F:$F,B13,'Counting Kontrak'!$G:$G)</f>
        <v>0</v>
      </c>
      <c r="F13" s="5">
        <f t="shared" si="0"/>
        <v>0</v>
      </c>
    </row>
    <row r="14" spans="1:6" x14ac:dyDescent="0.3">
      <c r="A14" s="5">
        <v>13</v>
      </c>
      <c r="B14" s="8" t="s">
        <v>19</v>
      </c>
      <c r="C14" s="5">
        <f>SUMIF('Counting Free'!B:B,'Main Data Kunjungan'!B14,'Counting Kontrak'!E:E)</f>
        <v>0</v>
      </c>
      <c r="D14" s="5">
        <f>SUMIF('Counting Kontrak'!$B:$B,'Main Data Kunjungan'!B14,'Counting Kontrak'!$C:$C)</f>
        <v>0</v>
      </c>
      <c r="E14" s="5">
        <f>SUMIF('Counting Kontrak'!$F:$F,B14,'Counting Kontrak'!$G:$G)</f>
        <v>0</v>
      </c>
      <c r="F14" s="5">
        <f t="shared" si="0"/>
        <v>0</v>
      </c>
    </row>
    <row r="15" spans="1:6" x14ac:dyDescent="0.3">
      <c r="A15" s="5">
        <v>14</v>
      </c>
      <c r="B15" s="8" t="s">
        <v>5</v>
      </c>
      <c r="C15" s="5">
        <f>SUMIF('Counting Free'!B:B,'Main Data Kunjungan'!B15,'Counting Kontrak'!E:E)</f>
        <v>0</v>
      </c>
      <c r="D15" s="5">
        <f>SUMIF('Counting Kontrak'!$B:$B,'Main Data Kunjungan'!B15,'Counting Kontrak'!$C:$C)</f>
        <v>0</v>
      </c>
      <c r="E15" s="5">
        <f>SUMIF('Counting Kontrak'!$F:$F,B15,'Counting Kontrak'!$G:$G)</f>
        <v>0</v>
      </c>
      <c r="F15" s="5">
        <f t="shared" si="0"/>
        <v>0</v>
      </c>
    </row>
    <row r="16" spans="1:6" x14ac:dyDescent="0.3">
      <c r="A16" s="5">
        <v>15</v>
      </c>
      <c r="B16" s="8" t="s">
        <v>24</v>
      </c>
      <c r="C16" s="5">
        <f>SUMIF('Counting Free'!B:B,'Main Data Kunjungan'!B16,'Counting Kontrak'!E:E)</f>
        <v>0</v>
      </c>
      <c r="D16" s="5">
        <f>SUMIF('Counting Kontrak'!$B:$B,'Main Data Kunjungan'!B16,'Counting Kontrak'!$C:$C)</f>
        <v>0</v>
      </c>
      <c r="E16" s="5">
        <f>SUMIF('Counting Kontrak'!$F:$F,B16,'Counting Kontrak'!$G:$G)</f>
        <v>0</v>
      </c>
      <c r="F16" s="5">
        <f t="shared" si="0"/>
        <v>0</v>
      </c>
    </row>
    <row r="17" spans="1:6" x14ac:dyDescent="0.3">
      <c r="A17" s="5">
        <v>16</v>
      </c>
      <c r="B17" s="8" t="s">
        <v>32</v>
      </c>
      <c r="C17" s="5">
        <f>SUMIF('Counting Free'!B:B,'Main Data Kunjungan'!B17,'Counting Kontrak'!E:E)</f>
        <v>0</v>
      </c>
      <c r="D17" s="5">
        <f>SUMIF('Counting Kontrak'!$B:$B,'Main Data Kunjungan'!B17,'Counting Kontrak'!$C:$C)</f>
        <v>0</v>
      </c>
      <c r="E17" s="5">
        <f>SUMIF('Counting Kontrak'!$F:$F,B17,'Counting Kontrak'!$G:$G)</f>
        <v>0</v>
      </c>
      <c r="F17" s="5">
        <f t="shared" si="0"/>
        <v>0</v>
      </c>
    </row>
    <row r="18" spans="1:6" x14ac:dyDescent="0.3">
      <c r="A18" s="5">
        <v>17</v>
      </c>
      <c r="B18" s="8" t="s">
        <v>33</v>
      </c>
      <c r="C18" s="5">
        <f>SUMIF('Counting Free'!B:B,'Main Data Kunjungan'!B18,'Counting Kontrak'!E:E)</f>
        <v>0</v>
      </c>
      <c r="D18" s="5">
        <f>SUMIF('Counting Kontrak'!$B:$B,'Main Data Kunjungan'!B18,'Counting Kontrak'!$C:$C)</f>
        <v>0</v>
      </c>
      <c r="E18" s="5">
        <f>SUMIF('Counting Kontrak'!$F:$F,B18,'Counting Kontrak'!$G:$G)</f>
        <v>0</v>
      </c>
      <c r="F18" s="5">
        <f t="shared" si="0"/>
        <v>0</v>
      </c>
    </row>
    <row r="19" spans="1:6" x14ac:dyDescent="0.3">
      <c r="A19" s="5">
        <v>18</v>
      </c>
      <c r="B19" s="8" t="s">
        <v>7</v>
      </c>
      <c r="C19" s="5">
        <f>SUMIF('Counting Free'!B:B,'Main Data Kunjungan'!B19,'Counting Kontrak'!E:E)</f>
        <v>0</v>
      </c>
      <c r="D19" s="5">
        <f>SUMIF('Counting Kontrak'!$B:$B,'Main Data Kunjungan'!B19,'Counting Kontrak'!$C:$C)</f>
        <v>0</v>
      </c>
      <c r="E19" s="5">
        <f>SUMIF('Counting Kontrak'!$F:$F,B19,'Counting Kontrak'!$G:$G)</f>
        <v>0</v>
      </c>
      <c r="F19" s="5">
        <f t="shared" si="0"/>
        <v>0</v>
      </c>
    </row>
    <row r="20" spans="1:6" x14ac:dyDescent="0.3">
      <c r="A20" s="5">
        <v>19</v>
      </c>
      <c r="B20" s="8" t="s">
        <v>10</v>
      </c>
      <c r="C20" s="5">
        <f>SUMIF('Counting Free'!B:B,'Main Data Kunjungan'!B20,'Counting Kontrak'!E:E)</f>
        <v>0</v>
      </c>
      <c r="D20" s="5">
        <f>SUMIF('Counting Kontrak'!$B:$B,'Main Data Kunjungan'!B20,'Counting Kontrak'!$C:$C)</f>
        <v>0</v>
      </c>
      <c r="E20" s="5">
        <f>SUMIF('Counting Kontrak'!$F:$F,B20,'Counting Kontrak'!$G:$G)</f>
        <v>0</v>
      </c>
      <c r="F20" s="5">
        <f t="shared" si="0"/>
        <v>0</v>
      </c>
    </row>
    <row r="21" spans="1:6" x14ac:dyDescent="0.3">
      <c r="A21" s="5">
        <v>20</v>
      </c>
      <c r="B21" s="8" t="s">
        <v>6</v>
      </c>
      <c r="C21" s="5">
        <f>SUMIF('Counting Free'!B:B,'Main Data Kunjungan'!B21,'Counting Kontrak'!E:E)</f>
        <v>0</v>
      </c>
      <c r="D21" s="5">
        <f>SUMIF('Counting Kontrak'!$B:$B,'Main Data Kunjungan'!B21,'Counting Kontrak'!$C:$C)</f>
        <v>0</v>
      </c>
      <c r="E21" s="5">
        <f>SUMIF('Counting Kontrak'!$F:$F,B21,'Counting Kontrak'!$G:$G)</f>
        <v>0</v>
      </c>
      <c r="F21" s="5">
        <f t="shared" si="0"/>
        <v>0</v>
      </c>
    </row>
    <row r="22" spans="1:6" x14ac:dyDescent="0.3">
      <c r="A22" s="5">
        <v>21</v>
      </c>
      <c r="B22" s="8" t="s">
        <v>41</v>
      </c>
      <c r="C22" s="5">
        <f>SUMIF('Counting Free'!B:B,'Main Data Kunjungan'!B22,'Counting Kontrak'!E:E)</f>
        <v>0</v>
      </c>
      <c r="D22" s="5">
        <f>SUMIF('Counting Kontrak'!$B:$B,'Main Data Kunjungan'!B22,'Counting Kontrak'!$C:$C)</f>
        <v>0</v>
      </c>
      <c r="E22" s="5">
        <f>SUMIF('Counting Kontrak'!$F:$F,B22,'Counting Kontrak'!$G:$G)</f>
        <v>0</v>
      </c>
      <c r="F22" s="5">
        <f t="shared" si="0"/>
        <v>0</v>
      </c>
    </row>
    <row r="23" spans="1:6" x14ac:dyDescent="0.3">
      <c r="A23" s="5">
        <v>22</v>
      </c>
      <c r="B23" s="8" t="s">
        <v>44</v>
      </c>
      <c r="C23" s="5">
        <f>SUMIF('Counting Free'!B:B,'Main Data Kunjungan'!B23,'Counting Kontrak'!E:E)</f>
        <v>0</v>
      </c>
      <c r="D23" s="5">
        <f>SUMIF('Counting Kontrak'!$B:$B,'Main Data Kunjungan'!B23,'Counting Kontrak'!$C:$C)</f>
        <v>0</v>
      </c>
      <c r="E23" s="5">
        <f>SUMIF('Counting Kontrak'!$F:$F,B23,'Counting Kontrak'!$G:$G)</f>
        <v>0</v>
      </c>
      <c r="F23" s="5">
        <f t="shared" si="0"/>
        <v>0</v>
      </c>
    </row>
    <row r="24" spans="1:6" x14ac:dyDescent="0.3">
      <c r="A24" s="5">
        <v>23</v>
      </c>
      <c r="B24" s="8" t="s">
        <v>5</v>
      </c>
      <c r="C24" s="5">
        <f>SUMIF('Counting Free'!B:B,'Main Data Kunjungan'!B24,'Counting Kontrak'!E:E)</f>
        <v>0</v>
      </c>
      <c r="D24" s="5">
        <f>SUMIF('Counting Kontrak'!$B:$B,'Main Data Kunjungan'!B24,'Counting Kontrak'!$C:$C)</f>
        <v>0</v>
      </c>
      <c r="E24" s="5">
        <f>SUMIF('Counting Kontrak'!$F:$F,B24,'Counting Kontrak'!$G:$G)</f>
        <v>0</v>
      </c>
      <c r="F24" s="5">
        <f t="shared" si="0"/>
        <v>0</v>
      </c>
    </row>
    <row r="25" spans="1:6" x14ac:dyDescent="0.3">
      <c r="A25" s="5">
        <v>24</v>
      </c>
      <c r="B25" s="8" t="s">
        <v>12</v>
      </c>
      <c r="C25" s="5">
        <f>SUMIF('Counting Free'!B:B,'Main Data Kunjungan'!B25,'Counting Kontrak'!E:E)</f>
        <v>0</v>
      </c>
      <c r="D25" s="5">
        <f>SUMIF('Counting Kontrak'!$B:$B,'Main Data Kunjungan'!B25,'Counting Kontrak'!$C:$C)</f>
        <v>0</v>
      </c>
      <c r="E25" s="5">
        <f>SUMIF('Counting Kontrak'!$F:$F,B25,'Counting Kontrak'!$G:$G)</f>
        <v>0</v>
      </c>
      <c r="F25" s="5">
        <f t="shared" si="0"/>
        <v>0</v>
      </c>
    </row>
    <row r="26" spans="1:6" x14ac:dyDescent="0.3">
      <c r="A26" s="5">
        <v>25</v>
      </c>
      <c r="B26" s="8" t="s">
        <v>36</v>
      </c>
      <c r="C26" s="5">
        <f>SUMIF('Counting Free'!B:B,'Main Data Kunjungan'!B26,'Counting Kontrak'!E:E)</f>
        <v>0</v>
      </c>
      <c r="D26" s="5">
        <f>SUMIF('Counting Kontrak'!$B:$B,'Main Data Kunjungan'!B26,'Counting Kontrak'!$C:$C)</f>
        <v>0</v>
      </c>
      <c r="E26" s="5">
        <f>SUMIF('Counting Kontrak'!$F:$F,B26,'Counting Kontrak'!$G:$G)</f>
        <v>0</v>
      </c>
      <c r="F26" s="5">
        <f t="shared" si="0"/>
        <v>0</v>
      </c>
    </row>
    <row r="27" spans="1:6" x14ac:dyDescent="0.3">
      <c r="A27" s="5">
        <v>26</v>
      </c>
      <c r="B27" s="8" t="s">
        <v>83</v>
      </c>
      <c r="C27" s="5">
        <f>SUMIF('Counting Free'!B:B,'Main Data Kunjungan'!B27,'Counting Kontrak'!E:E)</f>
        <v>0</v>
      </c>
      <c r="D27" s="5">
        <f>SUMIF('Counting Kontrak'!$B:$B,'Main Data Kunjungan'!B27,'Counting Kontrak'!$C:$C)</f>
        <v>0</v>
      </c>
      <c r="E27" s="5">
        <f>SUMIF('Counting Kontrak'!$F:$F,B27,'Counting Kontrak'!$G:$G)</f>
        <v>0</v>
      </c>
      <c r="F27" s="5">
        <f t="shared" si="0"/>
        <v>0</v>
      </c>
    </row>
    <row r="28" spans="1:6" x14ac:dyDescent="0.3">
      <c r="A28" s="5">
        <v>27</v>
      </c>
      <c r="B28" s="8" t="s">
        <v>57</v>
      </c>
      <c r="C28" s="5">
        <f>SUMIF('Counting Free'!B:B,'Main Data Kunjungan'!B28,'Counting Kontrak'!E:E)</f>
        <v>0</v>
      </c>
      <c r="D28" s="5">
        <f>SUMIF('Counting Kontrak'!$B:$B,'Main Data Kunjungan'!B28,'Counting Kontrak'!$C:$C)</f>
        <v>0</v>
      </c>
      <c r="E28" s="5">
        <f>SUMIF('Counting Kontrak'!$F:$F,B28,'Counting Kontrak'!$G:$G)</f>
        <v>0</v>
      </c>
      <c r="F28" s="5">
        <f t="shared" si="0"/>
        <v>0</v>
      </c>
    </row>
    <row r="29" spans="1:6" x14ac:dyDescent="0.3">
      <c r="A29" s="5">
        <v>28</v>
      </c>
      <c r="B29" s="8" t="s">
        <v>39</v>
      </c>
      <c r="C29" s="5">
        <f>SUMIF('Counting Free'!B:B,'Main Data Kunjungan'!B29,'Counting Kontrak'!E:E)</f>
        <v>0</v>
      </c>
      <c r="D29" s="5">
        <f>SUMIF('Counting Kontrak'!$B:$B,'Main Data Kunjungan'!B29,'Counting Kontrak'!$C:$C)</f>
        <v>0</v>
      </c>
      <c r="E29" s="5">
        <f>SUMIF('Counting Kontrak'!$F:$F,B29,'Counting Kontrak'!$G:$G)</f>
        <v>0</v>
      </c>
      <c r="F29" s="5">
        <f t="shared" si="0"/>
        <v>0</v>
      </c>
    </row>
    <row r="30" spans="1:6" x14ac:dyDescent="0.3">
      <c r="A30" s="5">
        <v>29</v>
      </c>
      <c r="B30" s="8" t="s">
        <v>49</v>
      </c>
      <c r="C30" s="5">
        <f>SUMIF('Counting Free'!B:B,'Main Data Kunjungan'!B30,'Counting Kontrak'!E:E)</f>
        <v>0</v>
      </c>
      <c r="D30" s="5">
        <f>SUMIF('Counting Kontrak'!$B:$B,'Main Data Kunjungan'!B30,'Counting Kontrak'!$C:$C)</f>
        <v>0</v>
      </c>
      <c r="E30" s="5">
        <f>SUMIF('Counting Kontrak'!$F:$F,B30,'Counting Kontrak'!$G:$G)</f>
        <v>0</v>
      </c>
      <c r="F30" s="5">
        <f t="shared" si="0"/>
        <v>0</v>
      </c>
    </row>
    <row r="31" spans="1:6" x14ac:dyDescent="0.3">
      <c r="A31" s="5">
        <v>30</v>
      </c>
      <c r="B31" s="8" t="s">
        <v>45</v>
      </c>
      <c r="C31" s="5">
        <f>SUMIF('Counting Free'!B:B,'Main Data Kunjungan'!B31,'Counting Kontrak'!E:E)</f>
        <v>0</v>
      </c>
      <c r="D31" s="5">
        <f>SUMIF('Counting Kontrak'!$B:$B,'Main Data Kunjungan'!B31,'Counting Kontrak'!$C:$C)</f>
        <v>0</v>
      </c>
      <c r="E31" s="5">
        <f>SUMIF('Counting Kontrak'!$F:$F,B31,'Counting Kontrak'!$G:$G)</f>
        <v>0</v>
      </c>
      <c r="F31" s="5">
        <f t="shared" si="0"/>
        <v>0</v>
      </c>
    </row>
    <row r="32" spans="1:6" x14ac:dyDescent="0.3">
      <c r="A32" s="5">
        <v>31</v>
      </c>
      <c r="B32" s="8" t="s">
        <v>18</v>
      </c>
      <c r="C32" s="5">
        <f>SUMIF('Counting Free'!B:B,'Main Data Kunjungan'!B32,'Counting Kontrak'!E:E)</f>
        <v>0</v>
      </c>
      <c r="D32" s="5">
        <f>SUMIF('Counting Kontrak'!$B:$B,'Main Data Kunjungan'!B32,'Counting Kontrak'!$C:$C)</f>
        <v>0</v>
      </c>
      <c r="E32" s="5">
        <f>SUMIF('Counting Kontrak'!$F:$F,B32,'Counting Kontrak'!$G:$G)</f>
        <v>0</v>
      </c>
      <c r="F32" s="5">
        <f t="shared" si="0"/>
        <v>0</v>
      </c>
    </row>
    <row r="33" spans="1:6" x14ac:dyDescent="0.3">
      <c r="A33" s="5">
        <v>32</v>
      </c>
      <c r="B33" s="8" t="s">
        <v>43</v>
      </c>
      <c r="C33" s="5">
        <f>SUMIF('Counting Free'!B:B,'Main Data Kunjungan'!B33,'Counting Kontrak'!E:E)</f>
        <v>0</v>
      </c>
      <c r="D33" s="5">
        <f>SUMIF('Counting Kontrak'!$B:$B,'Main Data Kunjungan'!B33,'Counting Kontrak'!$C:$C)</f>
        <v>0</v>
      </c>
      <c r="E33" s="5">
        <f>SUMIF('Counting Kontrak'!$F:$F,B33,'Counting Kontrak'!$G:$G)</f>
        <v>0</v>
      </c>
      <c r="F33" s="5">
        <f t="shared" si="0"/>
        <v>0</v>
      </c>
    </row>
    <row r="34" spans="1:6" x14ac:dyDescent="0.3">
      <c r="A34" s="5">
        <v>33</v>
      </c>
      <c r="B34" s="8" t="s">
        <v>80</v>
      </c>
      <c r="C34" s="5">
        <f>SUMIF('Counting Free'!B:B,'Main Data Kunjungan'!B34,'Counting Kontrak'!E:E)</f>
        <v>0</v>
      </c>
      <c r="D34" s="5">
        <f>SUMIF('Counting Kontrak'!$B:$B,'Main Data Kunjungan'!B34,'Counting Kontrak'!$C:$C)</f>
        <v>0</v>
      </c>
      <c r="E34" s="5">
        <f>SUMIF('Counting Kontrak'!$F:$F,B34,'Counting Kontrak'!$G:$G)</f>
        <v>0</v>
      </c>
      <c r="F34" s="5">
        <f t="shared" si="0"/>
        <v>0</v>
      </c>
    </row>
    <row r="35" spans="1:6" x14ac:dyDescent="0.3">
      <c r="A35" s="5">
        <v>34</v>
      </c>
      <c r="B35" s="8" t="s">
        <v>35</v>
      </c>
      <c r="C35" s="5">
        <f>SUMIF('Counting Free'!B:B,'Main Data Kunjungan'!B35,'Counting Kontrak'!E:E)</f>
        <v>0</v>
      </c>
      <c r="D35" s="5">
        <f>SUMIF('Counting Kontrak'!$B:$B,'Main Data Kunjungan'!B35,'Counting Kontrak'!$C:$C)</f>
        <v>0</v>
      </c>
      <c r="E35" s="5">
        <f>SUMIF('Counting Kontrak'!$F:$F,B35,'Counting Kontrak'!$G:$G)</f>
        <v>0</v>
      </c>
      <c r="F35" s="5">
        <f t="shared" si="0"/>
        <v>0</v>
      </c>
    </row>
    <row r="36" spans="1:6" x14ac:dyDescent="0.3">
      <c r="A36" s="5">
        <v>35</v>
      </c>
      <c r="B36" s="8" t="s">
        <v>30</v>
      </c>
      <c r="C36" s="5">
        <f>SUMIF('Counting Free'!B:B,'Main Data Kunjungan'!B36,'Counting Kontrak'!E:E)</f>
        <v>0</v>
      </c>
      <c r="D36" s="5">
        <f>SUMIF('Counting Kontrak'!$B:$B,'Main Data Kunjungan'!B36,'Counting Kontrak'!$C:$C)</f>
        <v>0</v>
      </c>
      <c r="E36" s="5">
        <f>SUMIF('Counting Kontrak'!$F:$F,B36,'Counting Kontrak'!$G:$G)</f>
        <v>0</v>
      </c>
      <c r="F36" s="5">
        <f t="shared" si="0"/>
        <v>0</v>
      </c>
    </row>
    <row r="37" spans="1:6" x14ac:dyDescent="0.3">
      <c r="A37" s="5">
        <v>36</v>
      </c>
      <c r="B37" s="8" t="s">
        <v>62</v>
      </c>
      <c r="C37" s="5">
        <f>SUMIF('Counting Free'!B:B,'Main Data Kunjungan'!B37,'Counting Kontrak'!E:E)</f>
        <v>0</v>
      </c>
      <c r="D37" s="5">
        <f>SUMIF('Counting Kontrak'!$B:$B,'Main Data Kunjungan'!B37,'Counting Kontrak'!$C:$C)</f>
        <v>0</v>
      </c>
      <c r="E37" s="5">
        <f>SUMIF('Counting Kontrak'!$F:$F,B37,'Counting Kontrak'!$G:$G)</f>
        <v>0</v>
      </c>
      <c r="F37" s="5">
        <f t="shared" si="0"/>
        <v>0</v>
      </c>
    </row>
    <row r="38" spans="1:6" x14ac:dyDescent="0.3">
      <c r="A38" s="5">
        <v>37</v>
      </c>
      <c r="B38" s="8" t="s">
        <v>54</v>
      </c>
      <c r="C38" s="5">
        <f>SUMIF('Counting Free'!B:B,'Main Data Kunjungan'!B38,'Counting Kontrak'!E:E)</f>
        <v>0</v>
      </c>
      <c r="D38" s="5">
        <f>SUMIF('Counting Kontrak'!$B:$B,'Main Data Kunjungan'!B38,'Counting Kontrak'!$C:$C)</f>
        <v>0</v>
      </c>
      <c r="E38" s="5">
        <f>SUMIF('Counting Kontrak'!$F:$F,B38,'Counting Kontrak'!$G:$G)</f>
        <v>0</v>
      </c>
      <c r="F38" s="5">
        <f t="shared" si="0"/>
        <v>0</v>
      </c>
    </row>
    <row r="39" spans="1:6" x14ac:dyDescent="0.3">
      <c r="A39" s="5">
        <v>38</v>
      </c>
      <c r="B39" s="8" t="s">
        <v>29</v>
      </c>
      <c r="C39" s="5">
        <f>SUMIF('Counting Free'!B:B,'Main Data Kunjungan'!B39,'Counting Kontrak'!E:E)</f>
        <v>0</v>
      </c>
      <c r="D39" s="5">
        <f>SUMIF('Counting Kontrak'!$B:$B,'Main Data Kunjungan'!B39,'Counting Kontrak'!$C:$C)</f>
        <v>0</v>
      </c>
      <c r="E39" s="5">
        <f>SUMIF('Counting Kontrak'!$F:$F,B39,'Counting Kontrak'!$G:$G)</f>
        <v>0</v>
      </c>
      <c r="F39" s="5">
        <f t="shared" si="0"/>
        <v>0</v>
      </c>
    </row>
    <row r="40" spans="1:6" x14ac:dyDescent="0.3">
      <c r="A40" s="5">
        <v>39</v>
      </c>
      <c r="B40" s="8" t="s">
        <v>60</v>
      </c>
      <c r="C40" s="5">
        <f>SUMIF('Counting Free'!B:B,'Main Data Kunjungan'!B40,'Counting Kontrak'!E:E)</f>
        <v>0</v>
      </c>
      <c r="D40" s="5">
        <f>SUMIF('Counting Kontrak'!$B:$B,'Main Data Kunjungan'!B40,'Counting Kontrak'!$C:$C)</f>
        <v>0</v>
      </c>
      <c r="E40" s="5">
        <f>SUMIF('Counting Kontrak'!$F:$F,B40,'Counting Kontrak'!$G:$G)</f>
        <v>0</v>
      </c>
      <c r="F40" s="5">
        <f t="shared" si="0"/>
        <v>0</v>
      </c>
    </row>
    <row r="41" spans="1:6" x14ac:dyDescent="0.3">
      <c r="A41" s="5">
        <v>40</v>
      </c>
      <c r="B41" s="8" t="s">
        <v>31</v>
      </c>
      <c r="C41" s="5">
        <f>SUMIF('Counting Free'!B:B,'Main Data Kunjungan'!B41,'Counting Kontrak'!E:E)</f>
        <v>0</v>
      </c>
      <c r="D41" s="5">
        <f>SUMIF('Counting Kontrak'!$B:$B,'Main Data Kunjungan'!B41,'Counting Kontrak'!$C:$C)</f>
        <v>0</v>
      </c>
      <c r="E41" s="5">
        <f>SUMIF('Counting Kontrak'!$F:$F,B41,'Counting Kontrak'!$G:$G)</f>
        <v>0</v>
      </c>
      <c r="F41" s="5">
        <f t="shared" si="0"/>
        <v>0</v>
      </c>
    </row>
    <row r="42" spans="1:6" x14ac:dyDescent="0.3">
      <c r="A42" s="5">
        <v>41</v>
      </c>
      <c r="B42" s="8" t="s">
        <v>37</v>
      </c>
      <c r="C42" s="5">
        <f>SUMIF('Counting Free'!B:B,'Main Data Kunjungan'!B42,'Counting Kontrak'!E:E)</f>
        <v>0</v>
      </c>
      <c r="D42" s="5">
        <f>SUMIF('Counting Kontrak'!$B:$B,'Main Data Kunjungan'!B42,'Counting Kontrak'!$C:$C)</f>
        <v>0</v>
      </c>
      <c r="E42" s="5">
        <f>SUMIF('Counting Kontrak'!$F:$F,B42,'Counting Kontrak'!$G:$G)</f>
        <v>0</v>
      </c>
      <c r="F42" s="5">
        <f t="shared" si="0"/>
        <v>0</v>
      </c>
    </row>
    <row r="43" spans="1:6" x14ac:dyDescent="0.3">
      <c r="A43" s="5">
        <v>42</v>
      </c>
      <c r="B43" s="8" t="s">
        <v>67</v>
      </c>
      <c r="C43" s="5">
        <f>SUMIF('Counting Free'!B:B,'Main Data Kunjungan'!B43,'Counting Kontrak'!E:E)</f>
        <v>0</v>
      </c>
      <c r="D43" s="5">
        <f>SUMIF('Counting Kontrak'!$B:$B,'Main Data Kunjungan'!B43,'Counting Kontrak'!$C:$C)</f>
        <v>0</v>
      </c>
      <c r="E43" s="5">
        <f>SUMIF('Counting Kontrak'!$F:$F,B43,'Counting Kontrak'!$G:$G)</f>
        <v>0</v>
      </c>
      <c r="F43" s="5">
        <f t="shared" si="0"/>
        <v>0</v>
      </c>
    </row>
    <row r="44" spans="1:6" x14ac:dyDescent="0.3">
      <c r="A44" s="5">
        <v>43</v>
      </c>
      <c r="B44" s="8" t="s">
        <v>25</v>
      </c>
      <c r="C44" s="5">
        <f>SUMIF('Counting Free'!B:B,'Main Data Kunjungan'!B44,'Counting Kontrak'!E:E)</f>
        <v>0</v>
      </c>
      <c r="D44" s="5">
        <f>SUMIF('Counting Kontrak'!$B:$B,'Main Data Kunjungan'!B44,'Counting Kontrak'!$C:$C)</f>
        <v>0</v>
      </c>
      <c r="E44" s="5">
        <f>SUMIF('Counting Kontrak'!$F:$F,B44,'Counting Kontrak'!$G:$G)</f>
        <v>0</v>
      </c>
      <c r="F44" s="5">
        <f t="shared" si="0"/>
        <v>0</v>
      </c>
    </row>
    <row r="45" spans="1:6" x14ac:dyDescent="0.3">
      <c r="A45" s="5">
        <v>44</v>
      </c>
      <c r="B45" s="8" t="s">
        <v>16</v>
      </c>
      <c r="C45" s="5">
        <f>SUMIF('Counting Free'!B:B,'Main Data Kunjungan'!B45,'Counting Kontrak'!E:E)</f>
        <v>0</v>
      </c>
      <c r="D45" s="5">
        <f>SUMIF('Counting Kontrak'!$B:$B,'Main Data Kunjungan'!B45,'Counting Kontrak'!$C:$C)</f>
        <v>0</v>
      </c>
      <c r="E45" s="5">
        <f>SUMIF('Counting Kontrak'!$F:$F,B45,'Counting Kontrak'!$G:$G)</f>
        <v>0</v>
      </c>
      <c r="F45" s="5">
        <f t="shared" si="0"/>
        <v>0</v>
      </c>
    </row>
    <row r="46" spans="1:6" x14ac:dyDescent="0.3">
      <c r="A46" s="5">
        <v>45</v>
      </c>
      <c r="B46" s="8" t="s">
        <v>59</v>
      </c>
      <c r="C46" s="5">
        <f>SUMIF('Counting Free'!B:B,'Main Data Kunjungan'!B46,'Counting Kontrak'!E:E)</f>
        <v>0</v>
      </c>
      <c r="D46" s="5">
        <f>SUMIF('Counting Kontrak'!$B:$B,'Main Data Kunjungan'!B46,'Counting Kontrak'!$C:$C)</f>
        <v>0</v>
      </c>
      <c r="E46" s="5">
        <f>SUMIF('Counting Kontrak'!$F:$F,B46,'Counting Kontrak'!$G:$G)</f>
        <v>0</v>
      </c>
      <c r="F46" s="5">
        <f t="shared" si="0"/>
        <v>0</v>
      </c>
    </row>
    <row r="47" spans="1:6" x14ac:dyDescent="0.3">
      <c r="A47" s="5">
        <v>46</v>
      </c>
      <c r="B47" s="8" t="s">
        <v>47</v>
      </c>
      <c r="C47" s="5">
        <f>SUMIF('Counting Free'!B:B,'Main Data Kunjungan'!B47,'Counting Kontrak'!E:E)</f>
        <v>0</v>
      </c>
      <c r="D47" s="5">
        <f>SUMIF('Counting Kontrak'!$B:$B,'Main Data Kunjungan'!B47,'Counting Kontrak'!$C:$C)</f>
        <v>0</v>
      </c>
      <c r="E47" s="5">
        <f>SUMIF('Counting Kontrak'!$F:$F,B47,'Counting Kontrak'!$G:$G)</f>
        <v>0</v>
      </c>
      <c r="F47" s="5">
        <f t="shared" si="0"/>
        <v>0</v>
      </c>
    </row>
    <row r="48" spans="1:6" x14ac:dyDescent="0.3">
      <c r="A48" s="5">
        <v>47</v>
      </c>
      <c r="B48" s="8" t="s">
        <v>53</v>
      </c>
      <c r="C48" s="5">
        <f>SUMIF('Counting Free'!B:B,'Main Data Kunjungan'!B48,'Counting Kontrak'!E:E)</f>
        <v>0</v>
      </c>
      <c r="D48" s="5">
        <f>SUMIF('Counting Kontrak'!$B:$B,'Main Data Kunjungan'!B48,'Counting Kontrak'!$C:$C)</f>
        <v>0</v>
      </c>
      <c r="E48" s="5">
        <f>SUMIF('Counting Kontrak'!$F:$F,B48,'Counting Kontrak'!$G:$G)</f>
        <v>0</v>
      </c>
      <c r="F48" s="5">
        <f t="shared" si="0"/>
        <v>0</v>
      </c>
    </row>
    <row r="49" spans="1:6" x14ac:dyDescent="0.3">
      <c r="A49" s="5">
        <v>48</v>
      </c>
      <c r="B49" s="8" t="s">
        <v>61</v>
      </c>
      <c r="C49" s="5">
        <f>SUMIF('Counting Free'!B:B,'Main Data Kunjungan'!B49,'Counting Kontrak'!E:E)</f>
        <v>0</v>
      </c>
      <c r="D49" s="5">
        <f>SUMIF('Counting Kontrak'!$B:$B,'Main Data Kunjungan'!B49,'Counting Kontrak'!$C:$C)</f>
        <v>0</v>
      </c>
      <c r="E49" s="5">
        <f>SUMIF('Counting Kontrak'!$F:$F,B49,'Counting Kontrak'!$G:$G)</f>
        <v>0</v>
      </c>
      <c r="F49" s="5">
        <f t="shared" si="0"/>
        <v>0</v>
      </c>
    </row>
    <row r="50" spans="1:6" x14ac:dyDescent="0.3">
      <c r="A50" s="5">
        <v>49</v>
      </c>
      <c r="B50" s="8" t="s">
        <v>13</v>
      </c>
      <c r="C50" s="5">
        <f>SUMIF('Counting Free'!B:B,'Main Data Kunjungan'!B50,'Counting Kontrak'!E:E)</f>
        <v>0</v>
      </c>
      <c r="D50" s="5">
        <f>SUMIF('Counting Kontrak'!$B:$B,'Main Data Kunjungan'!B50,'Counting Kontrak'!$C:$C)</f>
        <v>0</v>
      </c>
      <c r="E50" s="5">
        <f>SUMIF('Counting Kontrak'!$F:$F,B50,'Counting Kontrak'!$G:$G)</f>
        <v>0</v>
      </c>
      <c r="F50" s="5">
        <f t="shared" si="0"/>
        <v>0</v>
      </c>
    </row>
    <row r="51" spans="1:6" x14ac:dyDescent="0.3">
      <c r="A51" s="5">
        <v>50</v>
      </c>
      <c r="B51" s="8" t="s">
        <v>68</v>
      </c>
      <c r="C51" s="5">
        <f>SUMIF('Counting Free'!B:B,'Main Data Kunjungan'!B51,'Counting Kontrak'!E:E)</f>
        <v>0</v>
      </c>
      <c r="D51" s="5">
        <f>SUMIF('Counting Kontrak'!$B:$B,'Main Data Kunjungan'!B51,'Counting Kontrak'!$C:$C)</f>
        <v>0</v>
      </c>
      <c r="E51" s="5">
        <f>SUMIF('Counting Kontrak'!$F:$F,B51,'Counting Kontrak'!$G:$G)</f>
        <v>0</v>
      </c>
      <c r="F51" s="5">
        <f t="shared" si="0"/>
        <v>0</v>
      </c>
    </row>
    <row r="52" spans="1:6" x14ac:dyDescent="0.3">
      <c r="A52" s="5">
        <v>51</v>
      </c>
      <c r="B52" s="8" t="s">
        <v>65</v>
      </c>
      <c r="C52" s="5">
        <f>SUMIF('Counting Free'!B:B,'Main Data Kunjungan'!B52,'Counting Kontrak'!E:E)</f>
        <v>0</v>
      </c>
      <c r="D52" s="5">
        <f>SUMIF('Counting Kontrak'!$B:$B,'Main Data Kunjungan'!B52,'Counting Kontrak'!$C:$C)</f>
        <v>0</v>
      </c>
      <c r="E52" s="5">
        <f>SUMIF('Counting Kontrak'!$F:$F,B52,'Counting Kontrak'!$G:$G)</f>
        <v>0</v>
      </c>
      <c r="F52" s="5">
        <f t="shared" si="0"/>
        <v>0</v>
      </c>
    </row>
    <row r="53" spans="1:6" x14ac:dyDescent="0.3">
      <c r="A53" s="5">
        <v>52</v>
      </c>
      <c r="B53" s="8" t="s">
        <v>81</v>
      </c>
      <c r="C53" s="5">
        <f>SUMIF('Counting Free'!B:B,'Main Data Kunjungan'!B53,'Counting Kontrak'!E:E)</f>
        <v>0</v>
      </c>
      <c r="D53" s="5">
        <f>SUMIF('Counting Kontrak'!$B:$B,'Main Data Kunjungan'!B53,'Counting Kontrak'!$C:$C)</f>
        <v>0</v>
      </c>
      <c r="E53" s="5">
        <f>SUMIF('Counting Kontrak'!$F:$F,B53,'Counting Kontrak'!$G:$G)</f>
        <v>0</v>
      </c>
      <c r="F53" s="5">
        <f t="shared" si="0"/>
        <v>0</v>
      </c>
    </row>
    <row r="54" spans="1:6" x14ac:dyDescent="0.3">
      <c r="A54" s="5">
        <v>53</v>
      </c>
      <c r="B54" s="8" t="s">
        <v>72</v>
      </c>
      <c r="C54" s="5">
        <f>SUMIF('Counting Free'!B:B,'Main Data Kunjungan'!B54,'Counting Kontrak'!E:E)</f>
        <v>0</v>
      </c>
      <c r="D54" s="5">
        <f>SUMIF('Counting Kontrak'!$B:$B,'Main Data Kunjungan'!B54,'Counting Kontrak'!$C:$C)</f>
        <v>0</v>
      </c>
      <c r="E54" s="5">
        <f>SUMIF('Counting Kontrak'!$F:$F,B54,'Counting Kontrak'!$G:$G)</f>
        <v>0</v>
      </c>
      <c r="F54" s="5">
        <f t="shared" si="0"/>
        <v>0</v>
      </c>
    </row>
    <row r="55" spans="1:6" x14ac:dyDescent="0.3">
      <c r="A55" s="5">
        <v>54</v>
      </c>
      <c r="B55" s="8" t="s">
        <v>74</v>
      </c>
      <c r="C55" s="5">
        <f>SUMIF('Counting Free'!B:B,'Main Data Kunjungan'!B55,'Counting Kontrak'!E:E)</f>
        <v>0</v>
      </c>
      <c r="D55" s="5">
        <f>SUMIF('Counting Kontrak'!$B:$B,'Main Data Kunjungan'!B55,'Counting Kontrak'!$C:$C)</f>
        <v>0</v>
      </c>
      <c r="E55" s="5">
        <f>SUMIF('Counting Kontrak'!$F:$F,B55,'Counting Kontrak'!$G:$G)</f>
        <v>0</v>
      </c>
      <c r="F55" s="5">
        <f t="shared" si="0"/>
        <v>0</v>
      </c>
    </row>
    <row r="56" spans="1:6" x14ac:dyDescent="0.3">
      <c r="A56" s="5">
        <v>55</v>
      </c>
      <c r="B56" s="8" t="s">
        <v>58</v>
      </c>
      <c r="C56" s="5">
        <f>SUMIF('Counting Free'!B:B,'Main Data Kunjungan'!B56,'Counting Kontrak'!E:E)</f>
        <v>0</v>
      </c>
      <c r="D56" s="5">
        <f>SUMIF('Counting Kontrak'!$B:$B,'Main Data Kunjungan'!B56,'Counting Kontrak'!$C:$C)</f>
        <v>0</v>
      </c>
      <c r="E56" s="5">
        <f>SUMIF('Counting Kontrak'!$F:$F,B56,'Counting Kontrak'!$G:$G)</f>
        <v>0</v>
      </c>
      <c r="F56" s="5">
        <f t="shared" si="0"/>
        <v>0</v>
      </c>
    </row>
    <row r="57" spans="1:6" x14ac:dyDescent="0.3">
      <c r="A57" s="5">
        <v>56</v>
      </c>
      <c r="B57" s="8" t="s">
        <v>64</v>
      </c>
      <c r="C57" s="5">
        <f>SUMIF('Counting Free'!B:B,'Main Data Kunjungan'!B57,'Counting Kontrak'!E:E)</f>
        <v>0</v>
      </c>
      <c r="D57" s="5">
        <f>SUMIF('Counting Kontrak'!$B:$B,'Main Data Kunjungan'!B57,'Counting Kontrak'!$C:$C)</f>
        <v>0</v>
      </c>
      <c r="E57" s="5">
        <f>SUMIF('Counting Kontrak'!$F:$F,B57,'Counting Kontrak'!$G:$G)</f>
        <v>0</v>
      </c>
      <c r="F57" s="5">
        <f t="shared" si="0"/>
        <v>0</v>
      </c>
    </row>
    <row r="58" spans="1:6" x14ac:dyDescent="0.3">
      <c r="A58" s="5">
        <v>57</v>
      </c>
      <c r="B58" s="8" t="s">
        <v>27</v>
      </c>
      <c r="C58" s="5">
        <f>SUMIF('Counting Free'!B:B,'Main Data Kunjungan'!B58,'Counting Kontrak'!E:E)</f>
        <v>0</v>
      </c>
      <c r="D58" s="5">
        <f>SUMIF('Counting Kontrak'!$B:$B,'Main Data Kunjungan'!B58,'Counting Kontrak'!$C:$C)</f>
        <v>0</v>
      </c>
      <c r="E58" s="5">
        <f>SUMIF('Counting Kontrak'!$F:$F,B58,'Counting Kontrak'!$G:$G)</f>
        <v>0</v>
      </c>
      <c r="F58" s="5">
        <f t="shared" si="0"/>
        <v>0</v>
      </c>
    </row>
    <row r="59" spans="1:6" x14ac:dyDescent="0.3">
      <c r="A59" s="5">
        <v>58</v>
      </c>
      <c r="B59" s="8" t="s">
        <v>34</v>
      </c>
      <c r="C59" s="5">
        <f>SUMIF('Counting Free'!B:B,'Main Data Kunjungan'!B59,'Counting Kontrak'!E:E)</f>
        <v>0</v>
      </c>
      <c r="D59" s="5">
        <f>SUMIF('Counting Kontrak'!$B:$B,'Main Data Kunjungan'!B59,'Counting Kontrak'!$C:$C)</f>
        <v>0</v>
      </c>
      <c r="E59" s="5">
        <f>SUMIF('Counting Kontrak'!$F:$F,B59,'Counting Kontrak'!$G:$G)</f>
        <v>0</v>
      </c>
      <c r="F59" s="5">
        <f t="shared" si="0"/>
        <v>0</v>
      </c>
    </row>
    <row r="60" spans="1:6" x14ac:dyDescent="0.3">
      <c r="A60" s="5">
        <v>59</v>
      </c>
      <c r="B60" s="8" t="s">
        <v>71</v>
      </c>
      <c r="C60" s="5">
        <f>SUMIF('Counting Free'!B:B,'Main Data Kunjungan'!B60,'Counting Kontrak'!E:E)</f>
        <v>0</v>
      </c>
      <c r="D60" s="5">
        <f>SUMIF('Counting Kontrak'!$B:$B,'Main Data Kunjungan'!B60,'Counting Kontrak'!$C:$C)</f>
        <v>0</v>
      </c>
      <c r="E60" s="5">
        <f>SUMIF('Counting Kontrak'!$F:$F,B60,'Counting Kontrak'!$G:$G)</f>
        <v>0</v>
      </c>
      <c r="F60" s="5">
        <f t="shared" si="0"/>
        <v>0</v>
      </c>
    </row>
    <row r="61" spans="1:6" x14ac:dyDescent="0.3">
      <c r="A61" s="5">
        <v>60</v>
      </c>
      <c r="B61" s="8" t="s">
        <v>425</v>
      </c>
      <c r="C61" s="5">
        <f>SUMIF('Counting Free'!B:B,'Main Data Kunjungan'!B61,'Counting Kontrak'!E:E)</f>
        <v>0</v>
      </c>
      <c r="D61" s="5">
        <f>SUMIF('Counting Kontrak'!$B:$B,'Main Data Kunjungan'!B61,'Counting Kontrak'!$C:$C)</f>
        <v>0</v>
      </c>
      <c r="E61" s="5">
        <f>SUMIF('Counting Kontrak'!$F:$F,B61,'Counting Kontrak'!$G:$G)</f>
        <v>0</v>
      </c>
      <c r="F61" s="5">
        <f t="shared" si="0"/>
        <v>0</v>
      </c>
    </row>
    <row r="62" spans="1:6" x14ac:dyDescent="0.3">
      <c r="A62" s="5">
        <v>61</v>
      </c>
      <c r="B62" s="8" t="s">
        <v>82</v>
      </c>
      <c r="C62" s="5">
        <f>SUMIF('Counting Free'!B:B,'Main Data Kunjungan'!B62,'Counting Kontrak'!E:E)</f>
        <v>0</v>
      </c>
      <c r="D62" s="5">
        <f>SUMIF('Counting Kontrak'!$B:$B,'Main Data Kunjungan'!B62,'Counting Kontrak'!$C:$C)</f>
        <v>0</v>
      </c>
      <c r="E62" s="5">
        <f>SUMIF('Counting Kontrak'!$F:$F,B62,'Counting Kontrak'!$G:$G)</f>
        <v>0</v>
      </c>
      <c r="F62" s="5">
        <f t="shared" si="0"/>
        <v>0</v>
      </c>
    </row>
    <row r="63" spans="1:6" x14ac:dyDescent="0.3">
      <c r="A63" s="5">
        <v>62</v>
      </c>
      <c r="B63" s="8" t="s">
        <v>84</v>
      </c>
      <c r="C63" s="5">
        <f>SUMIF('Counting Free'!B:B,'Main Data Kunjungan'!B63,'Counting Kontrak'!E:E)</f>
        <v>0</v>
      </c>
      <c r="D63" s="5">
        <f>SUMIF('Counting Kontrak'!$B:$B,'Main Data Kunjungan'!B63,'Counting Kontrak'!$C:$C)</f>
        <v>0</v>
      </c>
      <c r="E63" s="5">
        <f>SUMIF('Counting Kontrak'!$F:$F,B63,'Counting Kontrak'!$G:$G)</f>
        <v>0</v>
      </c>
      <c r="F63" s="5">
        <f t="shared" si="0"/>
        <v>0</v>
      </c>
    </row>
    <row r="64" spans="1:6" x14ac:dyDescent="0.3">
      <c r="A64" s="5">
        <v>63</v>
      </c>
      <c r="B64" s="8" t="s">
        <v>38</v>
      </c>
      <c r="C64" s="5">
        <f>SUMIF('Counting Free'!B:B,'Main Data Kunjungan'!B64,'Counting Kontrak'!E:E)</f>
        <v>0</v>
      </c>
      <c r="D64" s="5">
        <f>SUMIF('Counting Kontrak'!$B:$B,'Main Data Kunjungan'!B64,'Counting Kontrak'!$C:$C)</f>
        <v>0</v>
      </c>
      <c r="E64" s="5">
        <f>SUMIF('Counting Kontrak'!$F:$F,B64,'Counting Kontrak'!$G:$G)</f>
        <v>0</v>
      </c>
      <c r="F64" s="5">
        <f t="shared" si="0"/>
        <v>0</v>
      </c>
    </row>
    <row r="65" spans="1:6" x14ac:dyDescent="0.3">
      <c r="A65" s="5">
        <v>64</v>
      </c>
      <c r="B65" s="8" t="s">
        <v>90</v>
      </c>
      <c r="C65" s="5">
        <f>SUMIF('Counting Free'!B:B,'Main Data Kunjungan'!B65,'Counting Kontrak'!E:E)</f>
        <v>0</v>
      </c>
      <c r="D65" s="5">
        <f>SUMIF('Counting Kontrak'!$B:$B,'Main Data Kunjungan'!B65,'Counting Kontrak'!$C:$C)</f>
        <v>0</v>
      </c>
      <c r="E65" s="5">
        <f>SUMIF('Counting Kontrak'!$F:$F,B65,'Counting Kontrak'!$G:$G)</f>
        <v>0</v>
      </c>
      <c r="F65" s="5">
        <f t="shared" si="0"/>
        <v>0</v>
      </c>
    </row>
    <row r="66" spans="1:6" x14ac:dyDescent="0.3">
      <c r="A66" s="5">
        <v>65</v>
      </c>
      <c r="B66" s="8" t="s">
        <v>28</v>
      </c>
      <c r="C66" s="5">
        <f>SUMIF('Counting Free'!B:B,'Main Data Kunjungan'!B66,'Counting Kontrak'!E:E)</f>
        <v>0</v>
      </c>
      <c r="D66" s="5">
        <f>SUMIF('Counting Kontrak'!$B:$B,'Main Data Kunjungan'!B66,'Counting Kontrak'!$C:$C)</f>
        <v>0</v>
      </c>
      <c r="E66" s="5">
        <f>SUMIF('Counting Kontrak'!$F:$F,B66,'Counting Kontrak'!$G:$G)</f>
        <v>0</v>
      </c>
      <c r="F66" s="5">
        <f t="shared" si="0"/>
        <v>0</v>
      </c>
    </row>
    <row r="67" spans="1:6" x14ac:dyDescent="0.3">
      <c r="A67" s="5">
        <v>66</v>
      </c>
      <c r="B67" s="8" t="s">
        <v>70</v>
      </c>
      <c r="C67" s="5">
        <f>SUMIF('Counting Free'!B:B,'Main Data Kunjungan'!B67,'Counting Kontrak'!E:E)</f>
        <v>0</v>
      </c>
      <c r="D67" s="5">
        <f>SUMIF('Counting Kontrak'!$B:$B,'Main Data Kunjungan'!B67,'Counting Kontrak'!$C:$C)</f>
        <v>0</v>
      </c>
      <c r="E67" s="5">
        <f>SUMIF('Counting Kontrak'!$F:$F,B67,'Counting Kontrak'!$G:$G)</f>
        <v>0</v>
      </c>
      <c r="F67" s="5">
        <f t="shared" ref="F67:F130" si="1">C67+D67-E67</f>
        <v>0</v>
      </c>
    </row>
    <row r="68" spans="1:6" x14ac:dyDescent="0.3">
      <c r="A68" s="5">
        <v>67</v>
      </c>
      <c r="B68" s="8" t="s">
        <v>88</v>
      </c>
      <c r="C68" s="5">
        <f>SUMIF('Counting Free'!B:B,'Main Data Kunjungan'!B68,'Counting Kontrak'!E:E)</f>
        <v>0</v>
      </c>
      <c r="D68" s="5">
        <f>SUMIF('Counting Kontrak'!$B:$B,'Main Data Kunjungan'!B68,'Counting Kontrak'!$C:$C)</f>
        <v>0</v>
      </c>
      <c r="E68" s="5">
        <f>SUMIF('Counting Kontrak'!$F:$F,B68,'Counting Kontrak'!$G:$G)</f>
        <v>0</v>
      </c>
      <c r="F68" s="5">
        <f t="shared" si="1"/>
        <v>0</v>
      </c>
    </row>
    <row r="69" spans="1:6" x14ac:dyDescent="0.3">
      <c r="A69" s="5">
        <v>68</v>
      </c>
      <c r="B69" s="8" t="s">
        <v>50</v>
      </c>
      <c r="C69" s="5">
        <f>SUMIF('Counting Free'!B:B,'Main Data Kunjungan'!B69,'Counting Kontrak'!E:E)</f>
        <v>0</v>
      </c>
      <c r="D69" s="5">
        <f>SUMIF('Counting Kontrak'!$B:$B,'Main Data Kunjungan'!B69,'Counting Kontrak'!$C:$C)</f>
        <v>0</v>
      </c>
      <c r="E69" s="5">
        <f>SUMIF('Counting Kontrak'!$F:$F,B69,'Counting Kontrak'!$G:$G)</f>
        <v>0</v>
      </c>
      <c r="F69" s="5">
        <f t="shared" si="1"/>
        <v>0</v>
      </c>
    </row>
    <row r="70" spans="1:6" x14ac:dyDescent="0.3">
      <c r="A70" s="5">
        <v>69</v>
      </c>
      <c r="B70" s="8" t="s">
        <v>91</v>
      </c>
      <c r="C70" s="5">
        <f>SUMIF('Counting Free'!B:B,'Main Data Kunjungan'!B70,'Counting Kontrak'!E:E)</f>
        <v>0</v>
      </c>
      <c r="D70" s="5">
        <f>SUMIF('Counting Kontrak'!$B:$B,'Main Data Kunjungan'!B70,'Counting Kontrak'!$C:$C)</f>
        <v>0</v>
      </c>
      <c r="E70" s="5">
        <f>SUMIF('Counting Kontrak'!$F:$F,B70,'Counting Kontrak'!$G:$G)</f>
        <v>0</v>
      </c>
      <c r="F70" s="5">
        <f t="shared" si="1"/>
        <v>0</v>
      </c>
    </row>
    <row r="71" spans="1:6" x14ac:dyDescent="0.3">
      <c r="A71" s="5">
        <v>70</v>
      </c>
      <c r="B71" s="8" t="s">
        <v>15</v>
      </c>
      <c r="C71" s="5">
        <f>SUMIF('Counting Free'!B:B,'Main Data Kunjungan'!B71,'Counting Kontrak'!E:E)</f>
        <v>0</v>
      </c>
      <c r="D71" s="5">
        <f>SUMIF('Counting Kontrak'!$B:$B,'Main Data Kunjungan'!B71,'Counting Kontrak'!$C:$C)</f>
        <v>0</v>
      </c>
      <c r="E71" s="5">
        <f>SUMIF('Counting Kontrak'!$F:$F,B71,'Counting Kontrak'!$G:$G)</f>
        <v>0</v>
      </c>
      <c r="F71" s="5">
        <f t="shared" si="1"/>
        <v>0</v>
      </c>
    </row>
    <row r="72" spans="1:6" x14ac:dyDescent="0.3">
      <c r="A72" s="5">
        <v>71</v>
      </c>
      <c r="B72" s="8" t="s">
        <v>62</v>
      </c>
      <c r="C72" s="5">
        <f>SUMIF('Counting Free'!B:B,'Main Data Kunjungan'!B72,'Counting Kontrak'!E:E)</f>
        <v>0</v>
      </c>
      <c r="D72" s="5">
        <f>SUMIF('Counting Kontrak'!$B:$B,'Main Data Kunjungan'!B72,'Counting Kontrak'!$C:$C)</f>
        <v>0</v>
      </c>
      <c r="E72" s="5">
        <f>SUMIF('Counting Kontrak'!$F:$F,B72,'Counting Kontrak'!$G:$G)</f>
        <v>0</v>
      </c>
      <c r="F72" s="5">
        <f t="shared" si="1"/>
        <v>0</v>
      </c>
    </row>
    <row r="73" spans="1:6" x14ac:dyDescent="0.3">
      <c r="A73" s="5">
        <v>72</v>
      </c>
      <c r="B73" s="8" t="s">
        <v>86</v>
      </c>
      <c r="C73" s="5">
        <f>SUMIF('Counting Free'!B:B,'Main Data Kunjungan'!B73,'Counting Kontrak'!E:E)</f>
        <v>0</v>
      </c>
      <c r="D73" s="5">
        <f>SUMIF('Counting Kontrak'!$B:$B,'Main Data Kunjungan'!B73,'Counting Kontrak'!$C:$C)</f>
        <v>0</v>
      </c>
      <c r="E73" s="5">
        <f>SUMIF('Counting Kontrak'!$F:$F,B73,'Counting Kontrak'!$G:$G)</f>
        <v>0</v>
      </c>
      <c r="F73" s="5">
        <f t="shared" si="1"/>
        <v>0</v>
      </c>
    </row>
    <row r="74" spans="1:6" x14ac:dyDescent="0.3">
      <c r="A74" s="5">
        <v>73</v>
      </c>
      <c r="B74" s="8" t="s">
        <v>95</v>
      </c>
      <c r="C74" s="5">
        <f>SUMIF('Counting Free'!B:B,'Main Data Kunjungan'!B74,'Counting Kontrak'!E:E)</f>
        <v>0</v>
      </c>
      <c r="D74" s="5">
        <f>SUMIF('Counting Kontrak'!$B:$B,'Main Data Kunjungan'!B74,'Counting Kontrak'!$C:$C)</f>
        <v>0</v>
      </c>
      <c r="E74" s="5">
        <f>SUMIF('Counting Kontrak'!$F:$F,B74,'Counting Kontrak'!$G:$G)</f>
        <v>0</v>
      </c>
      <c r="F74" s="5">
        <f t="shared" si="1"/>
        <v>0</v>
      </c>
    </row>
    <row r="75" spans="1:6" x14ac:dyDescent="0.3">
      <c r="A75" s="5">
        <v>74</v>
      </c>
      <c r="B75" s="8" t="s">
        <v>26</v>
      </c>
      <c r="C75" s="5">
        <f>SUMIF('Counting Free'!B:B,'Main Data Kunjungan'!B75,'Counting Kontrak'!E:E)</f>
        <v>0</v>
      </c>
      <c r="D75" s="5">
        <f>SUMIF('Counting Kontrak'!$B:$B,'Main Data Kunjungan'!B75,'Counting Kontrak'!$C:$C)</f>
        <v>0</v>
      </c>
      <c r="E75" s="5">
        <f>SUMIF('Counting Kontrak'!$F:$F,B75,'Counting Kontrak'!$G:$G)</f>
        <v>0</v>
      </c>
      <c r="F75" s="5">
        <f t="shared" si="1"/>
        <v>0</v>
      </c>
    </row>
    <row r="76" spans="1:6" x14ac:dyDescent="0.3">
      <c r="A76" s="5">
        <v>75</v>
      </c>
      <c r="B76" s="8" t="s">
        <v>76</v>
      </c>
      <c r="C76" s="5">
        <f>SUMIF('Counting Free'!B:B,'Main Data Kunjungan'!B76,'Counting Kontrak'!E:E)</f>
        <v>0</v>
      </c>
      <c r="D76" s="5">
        <f>SUMIF('Counting Kontrak'!$B:$B,'Main Data Kunjungan'!B76,'Counting Kontrak'!$C:$C)</f>
        <v>0</v>
      </c>
      <c r="E76" s="5">
        <f>SUMIF('Counting Kontrak'!$F:$F,B76,'Counting Kontrak'!$G:$G)</f>
        <v>0</v>
      </c>
      <c r="F76" s="5">
        <f t="shared" si="1"/>
        <v>0</v>
      </c>
    </row>
    <row r="77" spans="1:6" x14ac:dyDescent="0.3">
      <c r="A77" s="5">
        <v>76</v>
      </c>
      <c r="B77" s="8" t="s">
        <v>48</v>
      </c>
      <c r="C77" s="5">
        <f>SUMIF('Counting Free'!B:B,'Main Data Kunjungan'!B77,'Counting Kontrak'!E:E)</f>
        <v>0</v>
      </c>
      <c r="D77" s="5">
        <f>SUMIF('Counting Kontrak'!$B:$B,'Main Data Kunjungan'!B77,'Counting Kontrak'!$C:$C)</f>
        <v>0</v>
      </c>
      <c r="E77" s="5">
        <f>SUMIF('Counting Kontrak'!$F:$F,B77,'Counting Kontrak'!$G:$G)</f>
        <v>0</v>
      </c>
      <c r="F77" s="5">
        <f t="shared" si="1"/>
        <v>0</v>
      </c>
    </row>
    <row r="78" spans="1:6" x14ac:dyDescent="0.3">
      <c r="A78" s="5">
        <v>77</v>
      </c>
      <c r="B78" s="8" t="s">
        <v>69</v>
      </c>
      <c r="C78" s="5">
        <f>SUMIF('Counting Free'!B:B,'Main Data Kunjungan'!B78,'Counting Kontrak'!E:E)</f>
        <v>0</v>
      </c>
      <c r="D78" s="5">
        <f>SUMIF('Counting Kontrak'!$B:$B,'Main Data Kunjungan'!B78,'Counting Kontrak'!$C:$C)</f>
        <v>0</v>
      </c>
      <c r="E78" s="5">
        <f>SUMIF('Counting Kontrak'!$F:$F,B78,'Counting Kontrak'!$G:$G)</f>
        <v>0</v>
      </c>
      <c r="F78" s="5">
        <f t="shared" si="1"/>
        <v>0</v>
      </c>
    </row>
    <row r="79" spans="1:6" x14ac:dyDescent="0.3">
      <c r="A79" s="5">
        <v>78</v>
      </c>
      <c r="B79" s="8" t="s">
        <v>75</v>
      </c>
      <c r="C79" s="5">
        <f>SUMIF('Counting Free'!B:B,'Main Data Kunjungan'!B79,'Counting Kontrak'!E:E)</f>
        <v>0</v>
      </c>
      <c r="D79" s="5">
        <f>SUMIF('Counting Kontrak'!$B:$B,'Main Data Kunjungan'!B79,'Counting Kontrak'!$C:$C)</f>
        <v>0</v>
      </c>
      <c r="E79" s="5">
        <f>SUMIF('Counting Kontrak'!$F:$F,B79,'Counting Kontrak'!$G:$G)</f>
        <v>0</v>
      </c>
      <c r="F79" s="5">
        <f t="shared" si="1"/>
        <v>0</v>
      </c>
    </row>
    <row r="80" spans="1:6" x14ac:dyDescent="0.3">
      <c r="A80" s="5">
        <v>79</v>
      </c>
      <c r="B80" s="8" t="s">
        <v>85</v>
      </c>
      <c r="C80" s="5">
        <f>SUMIF('Counting Free'!B:B,'Main Data Kunjungan'!B80,'Counting Kontrak'!E:E)</f>
        <v>0</v>
      </c>
      <c r="D80" s="5">
        <f>SUMIF('Counting Kontrak'!$B:$B,'Main Data Kunjungan'!B80,'Counting Kontrak'!$C:$C)</f>
        <v>0</v>
      </c>
      <c r="E80" s="5">
        <f>SUMIF('Counting Kontrak'!$F:$F,B80,'Counting Kontrak'!$G:$G)</f>
        <v>0</v>
      </c>
      <c r="F80" s="5">
        <f t="shared" si="1"/>
        <v>0</v>
      </c>
    </row>
    <row r="81" spans="1:6" x14ac:dyDescent="0.3">
      <c r="A81" s="5">
        <v>80</v>
      </c>
      <c r="B81" s="8" t="s">
        <v>138</v>
      </c>
      <c r="C81" s="5">
        <f>SUMIF('Counting Free'!B:B,'Main Data Kunjungan'!B81,'Counting Kontrak'!E:E)</f>
        <v>0</v>
      </c>
      <c r="D81" s="5">
        <f>SUMIF('Counting Kontrak'!$B:$B,'Main Data Kunjungan'!B81,'Counting Kontrak'!$C:$C)</f>
        <v>0</v>
      </c>
      <c r="E81" s="5">
        <f>SUMIF('Counting Kontrak'!$F:$F,B81,'Counting Kontrak'!$G:$G)</f>
        <v>0</v>
      </c>
      <c r="F81" s="5">
        <f t="shared" si="1"/>
        <v>0</v>
      </c>
    </row>
    <row r="82" spans="1:6" x14ac:dyDescent="0.3">
      <c r="A82" s="5">
        <v>81</v>
      </c>
      <c r="B82" s="8" t="s">
        <v>99</v>
      </c>
      <c r="C82" s="5">
        <f>SUMIF('Counting Free'!B:B,'Main Data Kunjungan'!B82,'Counting Kontrak'!E:E)</f>
        <v>0</v>
      </c>
      <c r="D82" s="5">
        <f>SUMIF('Counting Kontrak'!$B:$B,'Main Data Kunjungan'!B82,'Counting Kontrak'!$C:$C)</f>
        <v>0</v>
      </c>
      <c r="E82" s="5">
        <f>SUMIF('Counting Kontrak'!$F:$F,B82,'Counting Kontrak'!$G:$G)</f>
        <v>0</v>
      </c>
      <c r="F82" s="5">
        <f t="shared" si="1"/>
        <v>0</v>
      </c>
    </row>
    <row r="83" spans="1:6" x14ac:dyDescent="0.3">
      <c r="A83" s="5">
        <v>82</v>
      </c>
      <c r="B83" s="8" t="s">
        <v>96</v>
      </c>
      <c r="C83" s="5">
        <f>SUMIF('Counting Free'!B:B,'Main Data Kunjungan'!B83,'Counting Kontrak'!E:E)</f>
        <v>0</v>
      </c>
      <c r="D83" s="5">
        <f>SUMIF('Counting Kontrak'!$B:$B,'Main Data Kunjungan'!B83,'Counting Kontrak'!$C:$C)</f>
        <v>0</v>
      </c>
      <c r="E83" s="5">
        <f>SUMIF('Counting Kontrak'!$F:$F,B83,'Counting Kontrak'!$G:$G)</f>
        <v>0</v>
      </c>
      <c r="F83" s="5">
        <f t="shared" si="1"/>
        <v>0</v>
      </c>
    </row>
    <row r="84" spans="1:6" x14ac:dyDescent="0.3">
      <c r="A84" s="5">
        <v>83</v>
      </c>
      <c r="B84" s="8" t="s">
        <v>426</v>
      </c>
      <c r="C84" s="5">
        <f>SUMIF('Counting Free'!B:B,'Main Data Kunjungan'!B84,'Counting Kontrak'!E:E)</f>
        <v>0</v>
      </c>
      <c r="D84" s="5">
        <f>SUMIF('Counting Kontrak'!$B:$B,'Main Data Kunjungan'!B84,'Counting Kontrak'!$C:$C)</f>
        <v>0</v>
      </c>
      <c r="E84" s="5">
        <f>SUMIF('Counting Kontrak'!$F:$F,B84,'Counting Kontrak'!$G:$G)</f>
        <v>0</v>
      </c>
      <c r="F84" s="5">
        <f t="shared" si="1"/>
        <v>0</v>
      </c>
    </row>
    <row r="85" spans="1:6" x14ac:dyDescent="0.3">
      <c r="A85" s="5">
        <v>84</v>
      </c>
      <c r="B85" s="8" t="s">
        <v>92</v>
      </c>
      <c r="C85" s="5">
        <f>SUMIF('Counting Free'!B:B,'Main Data Kunjungan'!B85,'Counting Kontrak'!E:E)</f>
        <v>0</v>
      </c>
      <c r="D85" s="5">
        <f>SUMIF('Counting Kontrak'!$B:$B,'Main Data Kunjungan'!B85,'Counting Kontrak'!$C:$C)</f>
        <v>0</v>
      </c>
      <c r="E85" s="5">
        <f>SUMIF('Counting Kontrak'!$F:$F,B85,'Counting Kontrak'!$G:$G)</f>
        <v>0</v>
      </c>
      <c r="F85" s="5">
        <f t="shared" si="1"/>
        <v>0</v>
      </c>
    </row>
    <row r="86" spans="1:6" x14ac:dyDescent="0.3">
      <c r="A86" s="5">
        <v>85</v>
      </c>
      <c r="B86" s="8" t="s">
        <v>93</v>
      </c>
      <c r="C86" s="5">
        <f>SUMIF('Counting Free'!B:B,'Main Data Kunjungan'!B86,'Counting Kontrak'!E:E)</f>
        <v>0</v>
      </c>
      <c r="D86" s="5">
        <f>SUMIF('Counting Kontrak'!$B:$B,'Main Data Kunjungan'!B86,'Counting Kontrak'!$C:$C)</f>
        <v>0</v>
      </c>
      <c r="E86" s="5">
        <f>SUMIF('Counting Kontrak'!$F:$F,B86,'Counting Kontrak'!$G:$G)</f>
        <v>0</v>
      </c>
      <c r="F86" s="5">
        <f t="shared" si="1"/>
        <v>0</v>
      </c>
    </row>
    <row r="87" spans="1:6" x14ac:dyDescent="0.3">
      <c r="A87" s="5">
        <v>86</v>
      </c>
      <c r="B87" s="8" t="s">
        <v>115</v>
      </c>
      <c r="C87" s="5">
        <f>SUMIF('Counting Free'!B:B,'Main Data Kunjungan'!B87,'Counting Kontrak'!E:E)</f>
        <v>0</v>
      </c>
      <c r="D87" s="5">
        <f>SUMIF('Counting Kontrak'!$B:$B,'Main Data Kunjungan'!B87,'Counting Kontrak'!$C:$C)</f>
        <v>0</v>
      </c>
      <c r="E87" s="5">
        <f>SUMIF('Counting Kontrak'!$F:$F,B87,'Counting Kontrak'!$G:$G)</f>
        <v>0</v>
      </c>
      <c r="F87" s="5">
        <f t="shared" si="1"/>
        <v>0</v>
      </c>
    </row>
    <row r="88" spans="1:6" x14ac:dyDescent="0.3">
      <c r="A88" s="5">
        <v>87</v>
      </c>
      <c r="B88" s="8" t="s">
        <v>101</v>
      </c>
      <c r="C88" s="5">
        <f>SUMIF('Counting Free'!B:B,'Main Data Kunjungan'!B88,'Counting Kontrak'!E:E)</f>
        <v>0</v>
      </c>
      <c r="D88" s="5">
        <f>SUMIF('Counting Kontrak'!$B:$B,'Main Data Kunjungan'!B88,'Counting Kontrak'!$C:$C)</f>
        <v>0</v>
      </c>
      <c r="E88" s="5">
        <f>SUMIF('Counting Kontrak'!$F:$F,B88,'Counting Kontrak'!$G:$G)</f>
        <v>0</v>
      </c>
      <c r="F88" s="5">
        <f t="shared" si="1"/>
        <v>0</v>
      </c>
    </row>
    <row r="89" spans="1:6" x14ac:dyDescent="0.3">
      <c r="A89" s="5">
        <v>88</v>
      </c>
      <c r="B89" s="8" t="s">
        <v>107</v>
      </c>
      <c r="C89" s="5">
        <f>SUMIF('Counting Free'!B:B,'Main Data Kunjungan'!B89,'Counting Kontrak'!E:E)</f>
        <v>0</v>
      </c>
      <c r="D89" s="5">
        <f>SUMIF('Counting Kontrak'!$B:$B,'Main Data Kunjungan'!B89,'Counting Kontrak'!$C:$C)</f>
        <v>0</v>
      </c>
      <c r="E89" s="5">
        <f>SUMIF('Counting Kontrak'!$F:$F,B89,'Counting Kontrak'!$G:$G)</f>
        <v>0</v>
      </c>
      <c r="F89" s="5">
        <f t="shared" si="1"/>
        <v>0</v>
      </c>
    </row>
    <row r="90" spans="1:6" x14ac:dyDescent="0.3">
      <c r="A90" s="5">
        <v>89</v>
      </c>
      <c r="B90" s="8" t="s">
        <v>105</v>
      </c>
      <c r="C90" s="5">
        <f>SUMIF('Counting Free'!B:B,'Main Data Kunjungan'!B90,'Counting Kontrak'!E:E)</f>
        <v>0</v>
      </c>
      <c r="D90" s="5">
        <f>SUMIF('Counting Kontrak'!$B:$B,'Main Data Kunjungan'!B90,'Counting Kontrak'!$C:$C)</f>
        <v>0</v>
      </c>
      <c r="E90" s="5">
        <f>SUMIF('Counting Kontrak'!$F:$F,B90,'Counting Kontrak'!$G:$G)</f>
        <v>0</v>
      </c>
      <c r="F90" s="5">
        <f t="shared" si="1"/>
        <v>0</v>
      </c>
    </row>
    <row r="91" spans="1:6" x14ac:dyDescent="0.3">
      <c r="A91" s="5">
        <v>90</v>
      </c>
      <c r="B91" s="8" t="s">
        <v>110</v>
      </c>
      <c r="C91" s="5">
        <f>SUMIF('Counting Free'!B:B,'Main Data Kunjungan'!B91,'Counting Kontrak'!E:E)</f>
        <v>0</v>
      </c>
      <c r="D91" s="5">
        <f>SUMIF('Counting Kontrak'!$B:$B,'Main Data Kunjungan'!B91,'Counting Kontrak'!$C:$C)</f>
        <v>0</v>
      </c>
      <c r="E91" s="5">
        <f>SUMIF('Counting Kontrak'!$F:$F,B91,'Counting Kontrak'!$G:$G)</f>
        <v>0</v>
      </c>
      <c r="F91" s="5">
        <f t="shared" si="1"/>
        <v>0</v>
      </c>
    </row>
    <row r="92" spans="1:6" x14ac:dyDescent="0.3">
      <c r="A92" s="5">
        <v>91</v>
      </c>
      <c r="B92" s="8" t="s">
        <v>111</v>
      </c>
      <c r="C92" s="5">
        <f>SUMIF('Counting Free'!B:B,'Main Data Kunjungan'!B92,'Counting Kontrak'!E:E)</f>
        <v>0</v>
      </c>
      <c r="D92" s="5">
        <f>SUMIF('Counting Kontrak'!$B:$B,'Main Data Kunjungan'!B92,'Counting Kontrak'!$C:$C)</f>
        <v>0</v>
      </c>
      <c r="E92" s="5">
        <f>SUMIF('Counting Kontrak'!$F:$F,B92,'Counting Kontrak'!$G:$G)</f>
        <v>0</v>
      </c>
      <c r="F92" s="5">
        <f t="shared" si="1"/>
        <v>0</v>
      </c>
    </row>
    <row r="93" spans="1:6" x14ac:dyDescent="0.3">
      <c r="A93" s="5">
        <v>92</v>
      </c>
      <c r="B93" s="8" t="s">
        <v>98</v>
      </c>
      <c r="C93" s="5">
        <f>SUMIF('Counting Free'!B:B,'Main Data Kunjungan'!B93,'Counting Kontrak'!E:E)</f>
        <v>0</v>
      </c>
      <c r="D93" s="5">
        <f>SUMIF('Counting Kontrak'!$B:$B,'Main Data Kunjungan'!B93,'Counting Kontrak'!$C:$C)</f>
        <v>0</v>
      </c>
      <c r="E93" s="5">
        <f>SUMIF('Counting Kontrak'!$F:$F,B93,'Counting Kontrak'!$G:$G)</f>
        <v>0</v>
      </c>
      <c r="F93" s="5">
        <f t="shared" si="1"/>
        <v>0</v>
      </c>
    </row>
    <row r="94" spans="1:6" x14ac:dyDescent="0.3">
      <c r="A94" s="5">
        <v>93</v>
      </c>
      <c r="B94" s="8" t="s">
        <v>40</v>
      </c>
      <c r="C94" s="5">
        <f>SUMIF('Counting Free'!B:B,'Main Data Kunjungan'!B94,'Counting Kontrak'!E:E)</f>
        <v>0</v>
      </c>
      <c r="D94" s="5">
        <f>SUMIF('Counting Kontrak'!$B:$B,'Main Data Kunjungan'!B94,'Counting Kontrak'!$C:$C)</f>
        <v>0</v>
      </c>
      <c r="E94" s="5">
        <f>SUMIF('Counting Kontrak'!$F:$F,B94,'Counting Kontrak'!$G:$G)</f>
        <v>0</v>
      </c>
      <c r="F94" s="5">
        <f t="shared" si="1"/>
        <v>0</v>
      </c>
    </row>
    <row r="95" spans="1:6" x14ac:dyDescent="0.3">
      <c r="A95" s="5">
        <v>94</v>
      </c>
      <c r="B95" s="8" t="s">
        <v>52</v>
      </c>
      <c r="C95" s="5">
        <f>SUMIF('Counting Free'!B:B,'Main Data Kunjungan'!B95,'Counting Kontrak'!E:E)</f>
        <v>0</v>
      </c>
      <c r="D95" s="5">
        <f>SUMIF('Counting Kontrak'!$B:$B,'Main Data Kunjungan'!B95,'Counting Kontrak'!$C:$C)</f>
        <v>0</v>
      </c>
      <c r="E95" s="5">
        <f>SUMIF('Counting Kontrak'!$F:$F,B95,'Counting Kontrak'!$G:$G)</f>
        <v>0</v>
      </c>
      <c r="F95" s="5">
        <f t="shared" si="1"/>
        <v>0</v>
      </c>
    </row>
    <row r="96" spans="1:6" x14ac:dyDescent="0.3">
      <c r="A96" s="5">
        <v>95</v>
      </c>
      <c r="B96" s="8" t="s">
        <v>146</v>
      </c>
      <c r="C96" s="5">
        <f>SUMIF('Counting Free'!B:B,'Main Data Kunjungan'!B96,'Counting Kontrak'!E:E)</f>
        <v>0</v>
      </c>
      <c r="D96" s="5">
        <f>SUMIF('Counting Kontrak'!$B:$B,'Main Data Kunjungan'!B96,'Counting Kontrak'!$C:$C)</f>
        <v>0</v>
      </c>
      <c r="E96" s="5">
        <f>SUMIF('Counting Kontrak'!$F:$F,B96,'Counting Kontrak'!$G:$G)</f>
        <v>0</v>
      </c>
      <c r="F96" s="5">
        <f t="shared" si="1"/>
        <v>0</v>
      </c>
    </row>
    <row r="97" spans="1:6" x14ac:dyDescent="0.3">
      <c r="A97" s="5">
        <v>96</v>
      </c>
      <c r="B97" s="8" t="s">
        <v>106</v>
      </c>
      <c r="C97" s="5">
        <f>SUMIF('Counting Free'!B:B,'Main Data Kunjungan'!B97,'Counting Kontrak'!E:E)</f>
        <v>0</v>
      </c>
      <c r="D97" s="5">
        <f>SUMIF('Counting Kontrak'!$B:$B,'Main Data Kunjungan'!B97,'Counting Kontrak'!$C:$C)</f>
        <v>0</v>
      </c>
      <c r="E97" s="5">
        <f>SUMIF('Counting Kontrak'!$F:$F,B97,'Counting Kontrak'!$G:$G)</f>
        <v>0</v>
      </c>
      <c r="F97" s="5">
        <f t="shared" si="1"/>
        <v>0</v>
      </c>
    </row>
    <row r="98" spans="1:6" x14ac:dyDescent="0.3">
      <c r="A98" s="5">
        <v>97</v>
      </c>
      <c r="B98" s="8" t="s">
        <v>116</v>
      </c>
      <c r="C98" s="5">
        <f>SUMIF('Counting Free'!B:B,'Main Data Kunjungan'!B98,'Counting Kontrak'!E:E)</f>
        <v>0</v>
      </c>
      <c r="D98" s="5">
        <f>SUMIF('Counting Kontrak'!$B:$B,'Main Data Kunjungan'!B98,'Counting Kontrak'!$C:$C)</f>
        <v>0</v>
      </c>
      <c r="E98" s="5">
        <f>SUMIF('Counting Kontrak'!$F:$F,B98,'Counting Kontrak'!$G:$G)</f>
        <v>0</v>
      </c>
      <c r="F98" s="5">
        <f t="shared" si="1"/>
        <v>0</v>
      </c>
    </row>
    <row r="99" spans="1:6" x14ac:dyDescent="0.3">
      <c r="A99" s="5">
        <v>98</v>
      </c>
      <c r="B99" s="8" t="s">
        <v>104</v>
      </c>
      <c r="C99" s="5">
        <f>SUMIF('Counting Free'!B:B,'Main Data Kunjungan'!B99,'Counting Kontrak'!E:E)</f>
        <v>0</v>
      </c>
      <c r="D99" s="5">
        <f>SUMIF('Counting Kontrak'!$B:$B,'Main Data Kunjungan'!B99,'Counting Kontrak'!$C:$C)</f>
        <v>0</v>
      </c>
      <c r="E99" s="5">
        <f>SUMIF('Counting Kontrak'!$F:$F,B99,'Counting Kontrak'!$G:$G)</f>
        <v>0</v>
      </c>
      <c r="F99" s="5">
        <f t="shared" si="1"/>
        <v>0</v>
      </c>
    </row>
    <row r="100" spans="1:6" x14ac:dyDescent="0.3">
      <c r="A100" s="5">
        <v>99</v>
      </c>
      <c r="B100" s="8" t="s">
        <v>56</v>
      </c>
      <c r="C100" s="5">
        <f>SUMIF('Counting Free'!B:B,'Main Data Kunjungan'!B100,'Counting Kontrak'!E:E)</f>
        <v>0</v>
      </c>
      <c r="D100" s="5">
        <f>SUMIF('Counting Kontrak'!$B:$B,'Main Data Kunjungan'!B100,'Counting Kontrak'!$C:$C)</f>
        <v>0</v>
      </c>
      <c r="E100" s="5">
        <f>SUMIF('Counting Kontrak'!$F:$F,B100,'Counting Kontrak'!$G:$G)</f>
        <v>0</v>
      </c>
      <c r="F100" s="5">
        <f t="shared" si="1"/>
        <v>0</v>
      </c>
    </row>
    <row r="101" spans="1:6" x14ac:dyDescent="0.3">
      <c r="A101" s="5">
        <v>100</v>
      </c>
      <c r="B101" s="8" t="s">
        <v>113</v>
      </c>
      <c r="C101" s="5">
        <f>SUMIF('Counting Free'!B:B,'Main Data Kunjungan'!B101,'Counting Kontrak'!E:E)</f>
        <v>0</v>
      </c>
      <c r="D101" s="5">
        <f>SUMIF('Counting Kontrak'!$B:$B,'Main Data Kunjungan'!B101,'Counting Kontrak'!$C:$C)</f>
        <v>0</v>
      </c>
      <c r="E101" s="5">
        <f>SUMIF('Counting Kontrak'!$F:$F,B101,'Counting Kontrak'!$G:$G)</f>
        <v>0</v>
      </c>
      <c r="F101" s="5">
        <f t="shared" si="1"/>
        <v>0</v>
      </c>
    </row>
    <row r="102" spans="1:6" x14ac:dyDescent="0.3">
      <c r="A102" s="5">
        <v>101</v>
      </c>
      <c r="B102" s="8" t="s">
        <v>119</v>
      </c>
      <c r="C102" s="5">
        <f>SUMIF('Counting Free'!B:B,'Main Data Kunjungan'!B102,'Counting Kontrak'!E:E)</f>
        <v>0</v>
      </c>
      <c r="D102" s="5">
        <f>SUMIF('Counting Kontrak'!$B:$B,'Main Data Kunjungan'!B102,'Counting Kontrak'!$C:$C)</f>
        <v>0</v>
      </c>
      <c r="E102" s="5">
        <f>SUMIF('Counting Kontrak'!$F:$F,B102,'Counting Kontrak'!$G:$G)</f>
        <v>0</v>
      </c>
      <c r="F102" s="5">
        <f t="shared" si="1"/>
        <v>0</v>
      </c>
    </row>
    <row r="103" spans="1:6" x14ac:dyDescent="0.3">
      <c r="A103" s="5">
        <v>102</v>
      </c>
      <c r="B103" s="8" t="s">
        <v>66</v>
      </c>
      <c r="C103" s="5">
        <f>SUMIF('Counting Free'!B:B,'Main Data Kunjungan'!B103,'Counting Kontrak'!E:E)</f>
        <v>0</v>
      </c>
      <c r="D103" s="5">
        <f>SUMIF('Counting Kontrak'!$B:$B,'Main Data Kunjungan'!B103,'Counting Kontrak'!$C:$C)</f>
        <v>0</v>
      </c>
      <c r="E103" s="5">
        <f>SUMIF('Counting Kontrak'!$F:$F,B103,'Counting Kontrak'!$G:$G)</f>
        <v>0</v>
      </c>
      <c r="F103" s="5">
        <f t="shared" si="1"/>
        <v>0</v>
      </c>
    </row>
    <row r="104" spans="1:6" x14ac:dyDescent="0.3">
      <c r="A104" s="5">
        <v>103</v>
      </c>
      <c r="B104" s="8" t="s">
        <v>121</v>
      </c>
      <c r="C104" s="5">
        <f>SUMIF('Counting Free'!B:B,'Main Data Kunjungan'!B104,'Counting Kontrak'!E:E)</f>
        <v>0</v>
      </c>
      <c r="D104" s="5">
        <f>SUMIF('Counting Kontrak'!$B:$B,'Main Data Kunjungan'!B104,'Counting Kontrak'!$C:$C)</f>
        <v>0</v>
      </c>
      <c r="E104" s="5">
        <f>SUMIF('Counting Kontrak'!$F:$F,B104,'Counting Kontrak'!$G:$G)</f>
        <v>0</v>
      </c>
      <c r="F104" s="5">
        <f t="shared" si="1"/>
        <v>0</v>
      </c>
    </row>
    <row r="105" spans="1:6" x14ac:dyDescent="0.3">
      <c r="A105" s="5">
        <v>104</v>
      </c>
      <c r="B105" s="8" t="s">
        <v>63</v>
      </c>
      <c r="C105" s="5">
        <f>SUMIF('Counting Free'!B:B,'Main Data Kunjungan'!B105,'Counting Kontrak'!E:E)</f>
        <v>0</v>
      </c>
      <c r="D105" s="5">
        <f>SUMIF('Counting Kontrak'!$B:$B,'Main Data Kunjungan'!B105,'Counting Kontrak'!$C:$C)</f>
        <v>0</v>
      </c>
      <c r="E105" s="5">
        <f>SUMIF('Counting Kontrak'!$F:$F,B105,'Counting Kontrak'!$G:$G)</f>
        <v>0</v>
      </c>
      <c r="F105" s="5">
        <f t="shared" si="1"/>
        <v>0</v>
      </c>
    </row>
    <row r="106" spans="1:6" x14ac:dyDescent="0.3">
      <c r="A106" s="5">
        <v>105</v>
      </c>
      <c r="B106" s="8" t="s">
        <v>100</v>
      </c>
      <c r="C106" s="5">
        <f>SUMIF('Counting Free'!B:B,'Main Data Kunjungan'!B106,'Counting Kontrak'!E:E)</f>
        <v>0</v>
      </c>
      <c r="D106" s="5">
        <f>SUMIF('Counting Kontrak'!$B:$B,'Main Data Kunjungan'!B106,'Counting Kontrak'!$C:$C)</f>
        <v>0</v>
      </c>
      <c r="E106" s="5">
        <f>SUMIF('Counting Kontrak'!$F:$F,B106,'Counting Kontrak'!$G:$G)</f>
        <v>0</v>
      </c>
      <c r="F106" s="5">
        <f t="shared" si="1"/>
        <v>0</v>
      </c>
    </row>
    <row r="107" spans="1:6" x14ac:dyDescent="0.3">
      <c r="A107" s="5">
        <v>106</v>
      </c>
      <c r="B107" s="8" t="s">
        <v>103</v>
      </c>
      <c r="C107" s="5">
        <f>SUMIF('Counting Free'!B:B,'Main Data Kunjungan'!B107,'Counting Kontrak'!E:E)</f>
        <v>0</v>
      </c>
      <c r="D107" s="5">
        <f>SUMIF('Counting Kontrak'!$B:$B,'Main Data Kunjungan'!B107,'Counting Kontrak'!$C:$C)</f>
        <v>0</v>
      </c>
      <c r="E107" s="5">
        <f>SUMIF('Counting Kontrak'!$F:$F,B107,'Counting Kontrak'!$G:$G)</f>
        <v>0</v>
      </c>
      <c r="F107" s="5">
        <f t="shared" si="1"/>
        <v>0</v>
      </c>
    </row>
    <row r="108" spans="1:6" x14ac:dyDescent="0.3">
      <c r="A108" s="5">
        <v>107</v>
      </c>
      <c r="B108" s="8" t="s">
        <v>130</v>
      </c>
      <c r="C108" s="5">
        <f>SUMIF('Counting Free'!B:B,'Main Data Kunjungan'!B108,'Counting Kontrak'!E:E)</f>
        <v>0</v>
      </c>
      <c r="D108" s="5">
        <f>SUMIF('Counting Kontrak'!$B:$B,'Main Data Kunjungan'!B108,'Counting Kontrak'!$C:$C)</f>
        <v>0</v>
      </c>
      <c r="E108" s="5">
        <f>SUMIF('Counting Kontrak'!$F:$F,B108,'Counting Kontrak'!$G:$G)</f>
        <v>0</v>
      </c>
      <c r="F108" s="5">
        <f t="shared" si="1"/>
        <v>0</v>
      </c>
    </row>
    <row r="109" spans="1:6" x14ac:dyDescent="0.3">
      <c r="A109" s="5">
        <v>108</v>
      </c>
      <c r="B109" s="8" t="s">
        <v>137</v>
      </c>
      <c r="C109" s="5">
        <f>SUMIF('Counting Free'!B:B,'Main Data Kunjungan'!B109,'Counting Kontrak'!E:E)</f>
        <v>0</v>
      </c>
      <c r="D109" s="5">
        <f>SUMIF('Counting Kontrak'!$B:$B,'Main Data Kunjungan'!B109,'Counting Kontrak'!$C:$C)</f>
        <v>0</v>
      </c>
      <c r="E109" s="5">
        <f>SUMIF('Counting Kontrak'!$F:$F,B109,'Counting Kontrak'!$G:$G)</f>
        <v>0</v>
      </c>
      <c r="F109" s="5">
        <f t="shared" si="1"/>
        <v>0</v>
      </c>
    </row>
    <row r="110" spans="1:6" x14ac:dyDescent="0.3">
      <c r="A110" s="5">
        <v>109</v>
      </c>
      <c r="B110" s="8" t="s">
        <v>139</v>
      </c>
      <c r="C110" s="5">
        <f>SUMIF('Counting Free'!B:B,'Main Data Kunjungan'!B110,'Counting Kontrak'!E:E)</f>
        <v>0</v>
      </c>
      <c r="D110" s="5">
        <f>SUMIF('Counting Kontrak'!$B:$B,'Main Data Kunjungan'!B110,'Counting Kontrak'!$C:$C)</f>
        <v>0</v>
      </c>
      <c r="E110" s="5">
        <f>SUMIF('Counting Kontrak'!$F:$F,B110,'Counting Kontrak'!$G:$G)</f>
        <v>0</v>
      </c>
      <c r="F110" s="5">
        <f t="shared" si="1"/>
        <v>0</v>
      </c>
    </row>
    <row r="111" spans="1:6" x14ac:dyDescent="0.3">
      <c r="A111" s="5">
        <v>110</v>
      </c>
      <c r="B111" s="8" t="s">
        <v>135</v>
      </c>
      <c r="C111" s="5">
        <f>SUMIF('Counting Free'!B:B,'Main Data Kunjungan'!B111,'Counting Kontrak'!E:E)</f>
        <v>0</v>
      </c>
      <c r="D111" s="5">
        <f>SUMIF('Counting Kontrak'!$B:$B,'Main Data Kunjungan'!B111,'Counting Kontrak'!$C:$C)</f>
        <v>0</v>
      </c>
      <c r="E111" s="5">
        <f>SUMIF('Counting Kontrak'!$F:$F,B111,'Counting Kontrak'!$G:$G)</f>
        <v>0</v>
      </c>
      <c r="F111" s="5">
        <f t="shared" si="1"/>
        <v>0</v>
      </c>
    </row>
    <row r="112" spans="1:6" x14ac:dyDescent="0.3">
      <c r="A112" s="5">
        <v>111</v>
      </c>
      <c r="B112" s="8" t="s">
        <v>152</v>
      </c>
      <c r="C112" s="5">
        <f>SUMIF('Counting Free'!B:B,'Main Data Kunjungan'!B112,'Counting Kontrak'!E:E)</f>
        <v>0</v>
      </c>
      <c r="D112" s="5">
        <f>SUMIF('Counting Kontrak'!$B:$B,'Main Data Kunjungan'!B112,'Counting Kontrak'!$C:$C)</f>
        <v>0</v>
      </c>
      <c r="E112" s="5">
        <f>SUMIF('Counting Kontrak'!$F:$F,B112,'Counting Kontrak'!$G:$G)</f>
        <v>0</v>
      </c>
      <c r="F112" s="5">
        <f t="shared" si="1"/>
        <v>0</v>
      </c>
    </row>
    <row r="113" spans="1:6" x14ac:dyDescent="0.3">
      <c r="A113" s="5">
        <v>112</v>
      </c>
      <c r="B113" s="8" t="s">
        <v>153</v>
      </c>
      <c r="C113" s="5">
        <f>SUMIF('Counting Free'!B:B,'Main Data Kunjungan'!B113,'Counting Kontrak'!E:E)</f>
        <v>0</v>
      </c>
      <c r="D113" s="5">
        <f>SUMIF('Counting Kontrak'!$B:$B,'Main Data Kunjungan'!B113,'Counting Kontrak'!$C:$C)</f>
        <v>0</v>
      </c>
      <c r="E113" s="5">
        <f>SUMIF('Counting Kontrak'!$F:$F,B113,'Counting Kontrak'!$G:$G)</f>
        <v>0</v>
      </c>
      <c r="F113" s="5">
        <f t="shared" si="1"/>
        <v>0</v>
      </c>
    </row>
    <row r="114" spans="1:6" x14ac:dyDescent="0.3">
      <c r="A114" s="5">
        <v>113</v>
      </c>
      <c r="B114" s="8" t="s">
        <v>114</v>
      </c>
      <c r="C114" s="5">
        <f>SUMIF('Counting Free'!B:B,'Main Data Kunjungan'!B114,'Counting Kontrak'!E:E)</f>
        <v>0</v>
      </c>
      <c r="D114" s="5">
        <f>SUMIF('Counting Kontrak'!$B:$B,'Main Data Kunjungan'!B114,'Counting Kontrak'!$C:$C)</f>
        <v>0</v>
      </c>
      <c r="E114" s="5">
        <f>SUMIF('Counting Kontrak'!$F:$F,B114,'Counting Kontrak'!$G:$G)</f>
        <v>0</v>
      </c>
      <c r="F114" s="5">
        <f t="shared" si="1"/>
        <v>0</v>
      </c>
    </row>
    <row r="115" spans="1:6" x14ac:dyDescent="0.3">
      <c r="A115" s="5">
        <v>114</v>
      </c>
      <c r="B115" s="8" t="s">
        <v>125</v>
      </c>
      <c r="C115" s="5">
        <f>SUMIF('Counting Free'!B:B,'Main Data Kunjungan'!B115,'Counting Kontrak'!E:E)</f>
        <v>0</v>
      </c>
      <c r="D115" s="5">
        <f>SUMIF('Counting Kontrak'!$B:$B,'Main Data Kunjungan'!B115,'Counting Kontrak'!$C:$C)</f>
        <v>0</v>
      </c>
      <c r="E115" s="5">
        <f>SUMIF('Counting Kontrak'!$F:$F,B115,'Counting Kontrak'!$G:$G)</f>
        <v>0</v>
      </c>
      <c r="F115" s="5">
        <f t="shared" si="1"/>
        <v>0</v>
      </c>
    </row>
    <row r="116" spans="1:6" x14ac:dyDescent="0.3">
      <c r="A116" s="5">
        <v>115</v>
      </c>
      <c r="B116" s="8" t="s">
        <v>128</v>
      </c>
      <c r="C116" s="5">
        <f>SUMIF('Counting Free'!B:B,'Main Data Kunjungan'!B116,'Counting Kontrak'!E:E)</f>
        <v>0</v>
      </c>
      <c r="D116" s="5">
        <f>SUMIF('Counting Kontrak'!$B:$B,'Main Data Kunjungan'!B116,'Counting Kontrak'!$C:$C)</f>
        <v>0</v>
      </c>
      <c r="E116" s="5">
        <f>SUMIF('Counting Kontrak'!$F:$F,B116,'Counting Kontrak'!$G:$G)</f>
        <v>0</v>
      </c>
      <c r="F116" s="5">
        <f t="shared" si="1"/>
        <v>0</v>
      </c>
    </row>
    <row r="117" spans="1:6" x14ac:dyDescent="0.3">
      <c r="A117" s="5">
        <v>116</v>
      </c>
      <c r="B117" s="8" t="s">
        <v>117</v>
      </c>
      <c r="C117" s="5">
        <f>SUMIF('Counting Free'!B:B,'Main Data Kunjungan'!B117,'Counting Kontrak'!E:E)</f>
        <v>0</v>
      </c>
      <c r="D117" s="5">
        <f>SUMIF('Counting Kontrak'!$B:$B,'Main Data Kunjungan'!B117,'Counting Kontrak'!$C:$C)</f>
        <v>0</v>
      </c>
      <c r="E117" s="5">
        <f>SUMIF('Counting Kontrak'!$F:$F,B117,'Counting Kontrak'!$G:$G)</f>
        <v>0</v>
      </c>
      <c r="F117" s="5">
        <f t="shared" si="1"/>
        <v>0</v>
      </c>
    </row>
    <row r="118" spans="1:6" x14ac:dyDescent="0.3">
      <c r="A118" s="5">
        <v>117</v>
      </c>
      <c r="B118" s="8" t="s">
        <v>134</v>
      </c>
      <c r="C118" s="5">
        <f>SUMIF('Counting Free'!B:B,'Main Data Kunjungan'!B118,'Counting Kontrak'!E:E)</f>
        <v>0</v>
      </c>
      <c r="D118" s="5">
        <f>SUMIF('Counting Kontrak'!$B:$B,'Main Data Kunjungan'!B118,'Counting Kontrak'!$C:$C)</f>
        <v>0</v>
      </c>
      <c r="E118" s="5">
        <f>SUMIF('Counting Kontrak'!$F:$F,B118,'Counting Kontrak'!$G:$G)</f>
        <v>0</v>
      </c>
      <c r="F118" s="5">
        <f t="shared" si="1"/>
        <v>0</v>
      </c>
    </row>
    <row r="119" spans="1:6" x14ac:dyDescent="0.3">
      <c r="A119" s="5">
        <v>118</v>
      </c>
      <c r="B119" s="8" t="s">
        <v>140</v>
      </c>
      <c r="C119" s="5">
        <f>SUMIF('Counting Free'!B:B,'Main Data Kunjungan'!B119,'Counting Kontrak'!E:E)</f>
        <v>0</v>
      </c>
      <c r="D119" s="5">
        <f>SUMIF('Counting Kontrak'!$B:$B,'Main Data Kunjungan'!B119,'Counting Kontrak'!$C:$C)</f>
        <v>0</v>
      </c>
      <c r="E119" s="5">
        <f>SUMIF('Counting Kontrak'!$F:$F,B119,'Counting Kontrak'!$G:$G)</f>
        <v>0</v>
      </c>
      <c r="F119" s="5">
        <f t="shared" si="1"/>
        <v>0</v>
      </c>
    </row>
    <row r="120" spans="1:6" x14ac:dyDescent="0.3">
      <c r="A120" s="5">
        <v>119</v>
      </c>
      <c r="B120" s="8" t="s">
        <v>127</v>
      </c>
      <c r="C120" s="5">
        <f>SUMIF('Counting Free'!B:B,'Main Data Kunjungan'!B120,'Counting Kontrak'!E:E)</f>
        <v>0</v>
      </c>
      <c r="D120" s="5">
        <f>SUMIF('Counting Kontrak'!$B:$B,'Main Data Kunjungan'!B120,'Counting Kontrak'!$C:$C)</f>
        <v>0</v>
      </c>
      <c r="E120" s="5">
        <f>SUMIF('Counting Kontrak'!$F:$F,B120,'Counting Kontrak'!$G:$G)</f>
        <v>0</v>
      </c>
      <c r="F120" s="5">
        <f t="shared" si="1"/>
        <v>0</v>
      </c>
    </row>
    <row r="121" spans="1:6" x14ac:dyDescent="0.3">
      <c r="A121" s="5">
        <v>120</v>
      </c>
      <c r="B121" s="8" t="s">
        <v>112</v>
      </c>
      <c r="C121" s="5">
        <f>SUMIF('Counting Free'!B:B,'Main Data Kunjungan'!B121,'Counting Kontrak'!E:E)</f>
        <v>0</v>
      </c>
      <c r="D121" s="5">
        <f>SUMIF('Counting Kontrak'!$B:$B,'Main Data Kunjungan'!B121,'Counting Kontrak'!$C:$C)</f>
        <v>0</v>
      </c>
      <c r="E121" s="5">
        <f>SUMIF('Counting Kontrak'!$F:$F,B121,'Counting Kontrak'!$G:$G)</f>
        <v>0</v>
      </c>
      <c r="F121" s="5">
        <f t="shared" si="1"/>
        <v>0</v>
      </c>
    </row>
    <row r="122" spans="1:6" x14ac:dyDescent="0.3">
      <c r="A122" s="5">
        <v>121</v>
      </c>
      <c r="B122" s="8" t="s">
        <v>89</v>
      </c>
      <c r="C122" s="5">
        <f>SUMIF('Counting Free'!B:B,'Main Data Kunjungan'!B122,'Counting Kontrak'!E:E)</f>
        <v>0</v>
      </c>
      <c r="D122" s="5">
        <f>SUMIF('Counting Kontrak'!$B:$B,'Main Data Kunjungan'!B122,'Counting Kontrak'!$C:$C)</f>
        <v>0</v>
      </c>
      <c r="E122" s="5">
        <f>SUMIF('Counting Kontrak'!$F:$F,B122,'Counting Kontrak'!$G:$G)</f>
        <v>0</v>
      </c>
      <c r="F122" s="5">
        <f t="shared" si="1"/>
        <v>0</v>
      </c>
    </row>
    <row r="123" spans="1:6" x14ac:dyDescent="0.3">
      <c r="A123" s="5">
        <v>122</v>
      </c>
      <c r="B123" s="8" t="s">
        <v>124</v>
      </c>
      <c r="C123" s="5">
        <f>SUMIF('Counting Free'!B:B,'Main Data Kunjungan'!B123,'Counting Kontrak'!E:E)</f>
        <v>0</v>
      </c>
      <c r="D123" s="5">
        <f>SUMIF('Counting Kontrak'!$B:$B,'Main Data Kunjungan'!B123,'Counting Kontrak'!$C:$C)</f>
        <v>0</v>
      </c>
      <c r="E123" s="5">
        <f>SUMIF('Counting Kontrak'!$F:$F,B123,'Counting Kontrak'!$G:$G)</f>
        <v>0</v>
      </c>
      <c r="F123" s="5">
        <f t="shared" si="1"/>
        <v>0</v>
      </c>
    </row>
    <row r="124" spans="1:6" x14ac:dyDescent="0.3">
      <c r="A124" s="5">
        <v>123</v>
      </c>
      <c r="B124" s="8" t="s">
        <v>148</v>
      </c>
      <c r="C124" s="5">
        <f>SUMIF('Counting Free'!B:B,'Main Data Kunjungan'!B124,'Counting Kontrak'!E:E)</f>
        <v>0</v>
      </c>
      <c r="D124" s="5">
        <f>SUMIF('Counting Kontrak'!$B:$B,'Main Data Kunjungan'!B124,'Counting Kontrak'!$C:$C)</f>
        <v>0</v>
      </c>
      <c r="E124" s="5">
        <f>SUMIF('Counting Kontrak'!$F:$F,B124,'Counting Kontrak'!$G:$G)</f>
        <v>0</v>
      </c>
      <c r="F124" s="5">
        <f t="shared" si="1"/>
        <v>0</v>
      </c>
    </row>
    <row r="125" spans="1:6" x14ac:dyDescent="0.3">
      <c r="A125" s="5">
        <v>124</v>
      </c>
      <c r="B125" s="8" t="s">
        <v>109</v>
      </c>
      <c r="C125" s="5">
        <f>SUMIF('Counting Free'!B:B,'Main Data Kunjungan'!B125,'Counting Kontrak'!E:E)</f>
        <v>0</v>
      </c>
      <c r="D125" s="5">
        <f>SUMIF('Counting Kontrak'!$B:$B,'Main Data Kunjungan'!B125,'Counting Kontrak'!$C:$C)</f>
        <v>0</v>
      </c>
      <c r="E125" s="5">
        <f>SUMIF('Counting Kontrak'!$F:$F,B125,'Counting Kontrak'!$G:$G)</f>
        <v>0</v>
      </c>
      <c r="F125" s="5">
        <f t="shared" si="1"/>
        <v>0</v>
      </c>
    </row>
    <row r="126" spans="1:6" x14ac:dyDescent="0.3">
      <c r="A126" s="5">
        <v>125</v>
      </c>
      <c r="B126" s="8" t="s">
        <v>141</v>
      </c>
      <c r="C126" s="5">
        <f>SUMIF('Counting Free'!B:B,'Main Data Kunjungan'!B126,'Counting Kontrak'!E:E)</f>
        <v>0</v>
      </c>
      <c r="D126" s="5">
        <f>SUMIF('Counting Kontrak'!$B:$B,'Main Data Kunjungan'!B126,'Counting Kontrak'!$C:$C)</f>
        <v>0</v>
      </c>
      <c r="E126" s="5">
        <f>SUMIF('Counting Kontrak'!$F:$F,B126,'Counting Kontrak'!$G:$G)</f>
        <v>0</v>
      </c>
      <c r="F126" s="5">
        <f t="shared" si="1"/>
        <v>0</v>
      </c>
    </row>
    <row r="127" spans="1:6" x14ac:dyDescent="0.3">
      <c r="A127" s="5">
        <v>126</v>
      </c>
      <c r="B127" s="8" t="s">
        <v>145</v>
      </c>
      <c r="C127" s="5">
        <f>SUMIF('Counting Free'!B:B,'Main Data Kunjungan'!B127,'Counting Kontrak'!E:E)</f>
        <v>0</v>
      </c>
      <c r="D127" s="5">
        <f>SUMIF('Counting Kontrak'!$B:$B,'Main Data Kunjungan'!B127,'Counting Kontrak'!$C:$C)</f>
        <v>0</v>
      </c>
      <c r="E127" s="5">
        <f>SUMIF('Counting Kontrak'!$F:$F,B127,'Counting Kontrak'!$G:$G)</f>
        <v>0</v>
      </c>
      <c r="F127" s="5">
        <f t="shared" si="1"/>
        <v>0</v>
      </c>
    </row>
    <row r="128" spans="1:6" x14ac:dyDescent="0.3">
      <c r="A128" s="5">
        <v>127</v>
      </c>
      <c r="B128" s="8" t="s">
        <v>142</v>
      </c>
      <c r="C128" s="5">
        <f>SUMIF('Counting Free'!B:B,'Main Data Kunjungan'!B128,'Counting Kontrak'!E:E)</f>
        <v>0</v>
      </c>
      <c r="D128" s="5">
        <f>SUMIF('Counting Kontrak'!$B:$B,'Main Data Kunjungan'!B128,'Counting Kontrak'!$C:$C)</f>
        <v>0</v>
      </c>
      <c r="E128" s="5">
        <f>SUMIF('Counting Kontrak'!$F:$F,B128,'Counting Kontrak'!$G:$G)</f>
        <v>0</v>
      </c>
      <c r="F128" s="5">
        <f t="shared" si="1"/>
        <v>0</v>
      </c>
    </row>
    <row r="129" spans="1:6" x14ac:dyDescent="0.3">
      <c r="A129" s="5">
        <v>128</v>
      </c>
      <c r="B129" s="8" t="s">
        <v>77</v>
      </c>
      <c r="C129" s="5">
        <f>SUMIF('Counting Free'!B:B,'Main Data Kunjungan'!B129,'Counting Kontrak'!E:E)</f>
        <v>0</v>
      </c>
      <c r="D129" s="5">
        <f>SUMIF('Counting Kontrak'!$B:$B,'Main Data Kunjungan'!B129,'Counting Kontrak'!$C:$C)</f>
        <v>0</v>
      </c>
      <c r="E129" s="5">
        <f>SUMIF('Counting Kontrak'!$F:$F,B129,'Counting Kontrak'!$G:$G)</f>
        <v>0</v>
      </c>
      <c r="F129" s="5">
        <f t="shared" si="1"/>
        <v>0</v>
      </c>
    </row>
    <row r="130" spans="1:6" x14ac:dyDescent="0.3">
      <c r="A130" s="5">
        <v>129</v>
      </c>
      <c r="B130" s="8" t="s">
        <v>102</v>
      </c>
      <c r="C130" s="5">
        <f>SUMIF('Counting Free'!B:B,'Main Data Kunjungan'!B130,'Counting Kontrak'!E:E)</f>
        <v>0</v>
      </c>
      <c r="D130" s="5">
        <f>SUMIF('Counting Kontrak'!$B:$B,'Main Data Kunjungan'!B130,'Counting Kontrak'!$C:$C)</f>
        <v>0</v>
      </c>
      <c r="E130" s="5">
        <f>SUMIF('Counting Kontrak'!$F:$F,B130,'Counting Kontrak'!$G:$G)</f>
        <v>0</v>
      </c>
      <c r="F130" s="5">
        <f t="shared" si="1"/>
        <v>0</v>
      </c>
    </row>
    <row r="131" spans="1:6" x14ac:dyDescent="0.3">
      <c r="A131" s="5">
        <v>130</v>
      </c>
      <c r="B131" s="8" t="s">
        <v>120</v>
      </c>
      <c r="C131" s="5">
        <f>SUMIF('Counting Free'!B:B,'Main Data Kunjungan'!B131,'Counting Kontrak'!E:E)</f>
        <v>0</v>
      </c>
      <c r="D131" s="5">
        <f>SUMIF('Counting Kontrak'!$B:$B,'Main Data Kunjungan'!B131,'Counting Kontrak'!$C:$C)</f>
        <v>0</v>
      </c>
      <c r="E131" s="5">
        <f>SUMIF('Counting Kontrak'!$F:$F,B131,'Counting Kontrak'!$G:$G)</f>
        <v>0</v>
      </c>
      <c r="F131" s="5">
        <f t="shared" ref="F131:F194" si="2">C131+D131-E131</f>
        <v>0</v>
      </c>
    </row>
    <row r="132" spans="1:6" x14ac:dyDescent="0.3">
      <c r="A132" s="5">
        <v>131</v>
      </c>
      <c r="B132" s="8" t="s">
        <v>136</v>
      </c>
      <c r="C132" s="5">
        <f>SUMIF('Counting Free'!B:B,'Main Data Kunjungan'!B132,'Counting Kontrak'!E:E)</f>
        <v>0</v>
      </c>
      <c r="D132" s="5">
        <f>SUMIF('Counting Kontrak'!$B:$B,'Main Data Kunjungan'!B132,'Counting Kontrak'!$C:$C)</f>
        <v>0</v>
      </c>
      <c r="E132" s="5">
        <f>SUMIF('Counting Kontrak'!$F:$F,B132,'Counting Kontrak'!$G:$G)</f>
        <v>0</v>
      </c>
      <c r="F132" s="5">
        <f t="shared" si="2"/>
        <v>0</v>
      </c>
    </row>
    <row r="133" spans="1:6" x14ac:dyDescent="0.3">
      <c r="A133" s="5">
        <v>132</v>
      </c>
      <c r="B133" s="8" t="s">
        <v>87</v>
      </c>
      <c r="C133" s="5">
        <f>SUMIF('Counting Free'!B:B,'Main Data Kunjungan'!B133,'Counting Kontrak'!E:E)</f>
        <v>0</v>
      </c>
      <c r="D133" s="5">
        <f>SUMIF('Counting Kontrak'!$B:$B,'Main Data Kunjungan'!B133,'Counting Kontrak'!$C:$C)</f>
        <v>0</v>
      </c>
      <c r="E133" s="5">
        <f>SUMIF('Counting Kontrak'!$F:$F,B133,'Counting Kontrak'!$G:$G)</f>
        <v>0</v>
      </c>
      <c r="F133" s="5">
        <f t="shared" si="2"/>
        <v>0</v>
      </c>
    </row>
    <row r="134" spans="1:6" x14ac:dyDescent="0.3">
      <c r="A134" s="5">
        <v>133</v>
      </c>
      <c r="B134" s="8" t="s">
        <v>129</v>
      </c>
      <c r="C134" s="5">
        <f>SUMIF('Counting Free'!B:B,'Main Data Kunjungan'!B134,'Counting Kontrak'!E:E)</f>
        <v>0</v>
      </c>
      <c r="D134" s="5">
        <f>SUMIF('Counting Kontrak'!$B:$B,'Main Data Kunjungan'!B134,'Counting Kontrak'!$C:$C)</f>
        <v>0</v>
      </c>
      <c r="E134" s="5">
        <f>SUMIF('Counting Kontrak'!$F:$F,B134,'Counting Kontrak'!$G:$G)</f>
        <v>0</v>
      </c>
      <c r="F134" s="5">
        <f t="shared" si="2"/>
        <v>0</v>
      </c>
    </row>
    <row r="135" spans="1:6" x14ac:dyDescent="0.3">
      <c r="A135" s="5">
        <v>134</v>
      </c>
      <c r="B135" s="8" t="s">
        <v>150</v>
      </c>
      <c r="C135" s="5">
        <f>SUMIF('Counting Free'!B:B,'Main Data Kunjungan'!B135,'Counting Kontrak'!E:E)</f>
        <v>0</v>
      </c>
      <c r="D135" s="5">
        <f>SUMIF('Counting Kontrak'!$B:$B,'Main Data Kunjungan'!B135,'Counting Kontrak'!$C:$C)</f>
        <v>0</v>
      </c>
      <c r="E135" s="5">
        <f>SUMIF('Counting Kontrak'!$F:$F,B135,'Counting Kontrak'!$G:$G)</f>
        <v>0</v>
      </c>
      <c r="F135" s="5">
        <f t="shared" si="2"/>
        <v>0</v>
      </c>
    </row>
    <row r="136" spans="1:6" x14ac:dyDescent="0.3">
      <c r="A136" s="5">
        <v>135</v>
      </c>
      <c r="B136" s="8" t="s">
        <v>94</v>
      </c>
      <c r="C136" s="5">
        <f>SUMIF('Counting Free'!B:B,'Main Data Kunjungan'!B136,'Counting Kontrak'!E:E)</f>
        <v>0</v>
      </c>
      <c r="D136" s="5">
        <f>SUMIF('Counting Kontrak'!$B:$B,'Main Data Kunjungan'!B136,'Counting Kontrak'!$C:$C)</f>
        <v>0</v>
      </c>
      <c r="E136" s="5">
        <f>SUMIF('Counting Kontrak'!$F:$F,B136,'Counting Kontrak'!$G:$G)</f>
        <v>0</v>
      </c>
      <c r="F136" s="5">
        <f t="shared" si="2"/>
        <v>0</v>
      </c>
    </row>
    <row r="137" spans="1:6" x14ac:dyDescent="0.3">
      <c r="A137" s="5">
        <v>136</v>
      </c>
      <c r="B137" s="8" t="s">
        <v>122</v>
      </c>
      <c r="C137" s="5">
        <f>SUMIF('Counting Free'!B:B,'Main Data Kunjungan'!B137,'Counting Kontrak'!E:E)</f>
        <v>0</v>
      </c>
      <c r="D137" s="5">
        <f>SUMIF('Counting Kontrak'!$B:$B,'Main Data Kunjungan'!B137,'Counting Kontrak'!$C:$C)</f>
        <v>0</v>
      </c>
      <c r="E137" s="5">
        <f>SUMIF('Counting Kontrak'!$F:$F,B137,'Counting Kontrak'!$G:$G)</f>
        <v>0</v>
      </c>
      <c r="F137" s="5">
        <f t="shared" si="2"/>
        <v>0</v>
      </c>
    </row>
    <row r="138" spans="1:6" x14ac:dyDescent="0.3">
      <c r="A138" s="5">
        <v>137</v>
      </c>
      <c r="B138" s="8" t="s">
        <v>123</v>
      </c>
      <c r="C138" s="5">
        <f>SUMIF('Counting Free'!B:B,'Main Data Kunjungan'!B138,'Counting Kontrak'!E:E)</f>
        <v>0</v>
      </c>
      <c r="D138" s="5">
        <f>SUMIF('Counting Kontrak'!$B:$B,'Main Data Kunjungan'!B138,'Counting Kontrak'!$C:$C)</f>
        <v>0</v>
      </c>
      <c r="E138" s="5">
        <f>SUMIF('Counting Kontrak'!$F:$F,B138,'Counting Kontrak'!$G:$G)</f>
        <v>0</v>
      </c>
      <c r="F138" s="5">
        <f t="shared" si="2"/>
        <v>0</v>
      </c>
    </row>
    <row r="139" spans="1:6" x14ac:dyDescent="0.3">
      <c r="A139" s="5">
        <v>138</v>
      </c>
      <c r="B139" s="8" t="s">
        <v>108</v>
      </c>
      <c r="C139" s="5">
        <f>SUMIF('Counting Free'!B:B,'Main Data Kunjungan'!B139,'Counting Kontrak'!E:E)</f>
        <v>0</v>
      </c>
      <c r="D139" s="5">
        <f>SUMIF('Counting Kontrak'!$B:$B,'Main Data Kunjungan'!B139,'Counting Kontrak'!$C:$C)</f>
        <v>0</v>
      </c>
      <c r="E139" s="5">
        <f>SUMIF('Counting Kontrak'!$F:$F,B139,'Counting Kontrak'!$G:$G)</f>
        <v>0</v>
      </c>
      <c r="F139" s="5">
        <f t="shared" si="2"/>
        <v>0</v>
      </c>
    </row>
    <row r="140" spans="1:6" x14ac:dyDescent="0.3">
      <c r="A140" s="5">
        <v>139</v>
      </c>
      <c r="B140" s="8" t="s">
        <v>154</v>
      </c>
      <c r="C140" s="5">
        <f>SUMIF('Counting Free'!B:B,'Main Data Kunjungan'!B140,'Counting Kontrak'!E:E)</f>
        <v>0</v>
      </c>
      <c r="D140" s="5">
        <f>SUMIF('Counting Kontrak'!$B:$B,'Main Data Kunjungan'!B140,'Counting Kontrak'!$C:$C)</f>
        <v>0</v>
      </c>
      <c r="E140" s="5">
        <f>SUMIF('Counting Kontrak'!$F:$F,B140,'Counting Kontrak'!$G:$G)</f>
        <v>0</v>
      </c>
      <c r="F140" s="5">
        <f t="shared" si="2"/>
        <v>0</v>
      </c>
    </row>
    <row r="141" spans="1:6" x14ac:dyDescent="0.3">
      <c r="A141" s="5">
        <v>140</v>
      </c>
      <c r="B141" s="8" t="s">
        <v>131</v>
      </c>
      <c r="C141" s="5">
        <f>SUMIF('Counting Free'!B:B,'Main Data Kunjungan'!B141,'Counting Kontrak'!E:E)</f>
        <v>0</v>
      </c>
      <c r="D141" s="5">
        <f>SUMIF('Counting Kontrak'!$B:$B,'Main Data Kunjungan'!B141,'Counting Kontrak'!$C:$C)</f>
        <v>0</v>
      </c>
      <c r="E141" s="5">
        <f>SUMIF('Counting Kontrak'!$F:$F,B141,'Counting Kontrak'!$G:$G)</f>
        <v>0</v>
      </c>
      <c r="F141" s="5">
        <f t="shared" si="2"/>
        <v>0</v>
      </c>
    </row>
    <row r="142" spans="1:6" x14ac:dyDescent="0.3">
      <c r="A142" s="5">
        <v>141</v>
      </c>
      <c r="B142" s="8" t="s">
        <v>143</v>
      </c>
      <c r="C142" s="5">
        <f>SUMIF('Counting Free'!B:B,'Main Data Kunjungan'!B142,'Counting Kontrak'!E:E)</f>
        <v>0</v>
      </c>
      <c r="D142" s="5">
        <f>SUMIF('Counting Kontrak'!$B:$B,'Main Data Kunjungan'!B142,'Counting Kontrak'!$C:$C)</f>
        <v>0</v>
      </c>
      <c r="E142" s="5">
        <f>SUMIF('Counting Kontrak'!$F:$F,B142,'Counting Kontrak'!$G:$G)</f>
        <v>0</v>
      </c>
      <c r="F142" s="5">
        <f t="shared" si="2"/>
        <v>0</v>
      </c>
    </row>
    <row r="143" spans="1:6" x14ac:dyDescent="0.3">
      <c r="A143" s="5">
        <v>142</v>
      </c>
      <c r="B143" s="8" t="s">
        <v>97</v>
      </c>
      <c r="C143" s="5">
        <f>SUMIF('Counting Free'!B:B,'Main Data Kunjungan'!B143,'Counting Kontrak'!E:E)</f>
        <v>0</v>
      </c>
      <c r="D143" s="5">
        <f>SUMIF('Counting Kontrak'!$B:$B,'Main Data Kunjungan'!B143,'Counting Kontrak'!$C:$C)</f>
        <v>0</v>
      </c>
      <c r="E143" s="5">
        <f>SUMIF('Counting Kontrak'!$F:$F,B143,'Counting Kontrak'!$G:$G)</f>
        <v>0</v>
      </c>
      <c r="F143" s="5">
        <f t="shared" si="2"/>
        <v>0</v>
      </c>
    </row>
    <row r="144" spans="1:6" x14ac:dyDescent="0.3">
      <c r="A144" s="5">
        <v>143</v>
      </c>
      <c r="B144" s="8" t="s">
        <v>123</v>
      </c>
      <c r="C144" s="5">
        <f>SUMIF('Counting Free'!B:B,'Main Data Kunjungan'!B144,'Counting Kontrak'!E:E)</f>
        <v>0</v>
      </c>
      <c r="D144" s="5">
        <f>SUMIF('Counting Kontrak'!$B:$B,'Main Data Kunjungan'!B144,'Counting Kontrak'!$C:$C)</f>
        <v>0</v>
      </c>
      <c r="E144" s="5">
        <f>SUMIF('Counting Kontrak'!$F:$F,B144,'Counting Kontrak'!$G:$G)</f>
        <v>0</v>
      </c>
      <c r="F144" s="5">
        <f t="shared" si="2"/>
        <v>0</v>
      </c>
    </row>
    <row r="145" spans="1:6" x14ac:dyDescent="0.3">
      <c r="A145" s="5">
        <v>144</v>
      </c>
      <c r="B145" s="8" t="s">
        <v>166</v>
      </c>
      <c r="C145" s="5">
        <f>SUMIF('Counting Free'!B:B,'Main Data Kunjungan'!B145,'Counting Kontrak'!E:E)</f>
        <v>0</v>
      </c>
      <c r="D145" s="5">
        <f>SUMIF('Counting Kontrak'!$B:$B,'Main Data Kunjungan'!B145,'Counting Kontrak'!$C:$C)</f>
        <v>0</v>
      </c>
      <c r="E145" s="5">
        <f>SUMIF('Counting Kontrak'!$F:$F,B145,'Counting Kontrak'!$G:$G)</f>
        <v>0</v>
      </c>
      <c r="F145" s="5">
        <f t="shared" si="2"/>
        <v>0</v>
      </c>
    </row>
    <row r="146" spans="1:6" x14ac:dyDescent="0.3">
      <c r="A146" s="5">
        <v>145</v>
      </c>
      <c r="B146" s="8" t="s">
        <v>427</v>
      </c>
      <c r="C146" s="5">
        <f>SUMIF('Counting Free'!B:B,'Main Data Kunjungan'!B146,'Counting Kontrak'!E:E)</f>
        <v>0</v>
      </c>
      <c r="D146" s="5">
        <f>SUMIF('Counting Kontrak'!$B:$B,'Main Data Kunjungan'!B146,'Counting Kontrak'!$C:$C)</f>
        <v>0</v>
      </c>
      <c r="E146" s="5">
        <f>SUMIF('Counting Kontrak'!$F:$F,B146,'Counting Kontrak'!$G:$G)</f>
        <v>0</v>
      </c>
      <c r="F146" s="5">
        <f t="shared" si="2"/>
        <v>0</v>
      </c>
    </row>
    <row r="147" spans="1:6" x14ac:dyDescent="0.3">
      <c r="A147" s="5">
        <v>146</v>
      </c>
      <c r="B147" s="8" t="s">
        <v>172</v>
      </c>
      <c r="C147" s="5">
        <f>SUMIF('Counting Free'!B:B,'Main Data Kunjungan'!B147,'Counting Kontrak'!E:E)</f>
        <v>0</v>
      </c>
      <c r="D147" s="5">
        <f>SUMIF('Counting Kontrak'!$B:$B,'Main Data Kunjungan'!B147,'Counting Kontrak'!$C:$C)</f>
        <v>0</v>
      </c>
      <c r="E147" s="5">
        <f>SUMIF('Counting Kontrak'!$F:$F,B147,'Counting Kontrak'!$G:$G)</f>
        <v>0</v>
      </c>
      <c r="F147" s="5">
        <f t="shared" si="2"/>
        <v>0</v>
      </c>
    </row>
    <row r="148" spans="1:6" x14ac:dyDescent="0.3">
      <c r="A148" s="5">
        <v>147</v>
      </c>
      <c r="B148" s="8" t="s">
        <v>177</v>
      </c>
      <c r="C148" s="5">
        <f>SUMIF('Counting Free'!B:B,'Main Data Kunjungan'!B148,'Counting Kontrak'!E:E)</f>
        <v>0</v>
      </c>
      <c r="D148" s="5">
        <f>SUMIF('Counting Kontrak'!$B:$B,'Main Data Kunjungan'!B148,'Counting Kontrak'!$C:$C)</f>
        <v>0</v>
      </c>
      <c r="E148" s="5">
        <f>SUMIF('Counting Kontrak'!$F:$F,B148,'Counting Kontrak'!$G:$G)</f>
        <v>0</v>
      </c>
      <c r="F148" s="5">
        <f t="shared" si="2"/>
        <v>0</v>
      </c>
    </row>
    <row r="149" spans="1:6" x14ac:dyDescent="0.3">
      <c r="A149" s="5">
        <v>148</v>
      </c>
      <c r="B149" s="8" t="s">
        <v>160</v>
      </c>
      <c r="C149" s="5">
        <f>SUMIF('Counting Free'!B:B,'Main Data Kunjungan'!B149,'Counting Kontrak'!E:E)</f>
        <v>0</v>
      </c>
      <c r="D149" s="5">
        <f>SUMIF('Counting Kontrak'!$B:$B,'Main Data Kunjungan'!B149,'Counting Kontrak'!$C:$C)</f>
        <v>0</v>
      </c>
      <c r="E149" s="5">
        <f>SUMIF('Counting Kontrak'!$F:$F,B149,'Counting Kontrak'!$G:$G)</f>
        <v>0</v>
      </c>
      <c r="F149" s="5">
        <f t="shared" si="2"/>
        <v>0</v>
      </c>
    </row>
    <row r="150" spans="1:6" x14ac:dyDescent="0.3">
      <c r="A150" s="5">
        <v>149</v>
      </c>
      <c r="B150" s="8" t="s">
        <v>159</v>
      </c>
      <c r="C150" s="5">
        <f>SUMIF('Counting Free'!B:B,'Main Data Kunjungan'!B150,'Counting Kontrak'!E:E)</f>
        <v>0</v>
      </c>
      <c r="D150" s="5">
        <f>SUMIF('Counting Kontrak'!$B:$B,'Main Data Kunjungan'!B150,'Counting Kontrak'!$C:$C)</f>
        <v>0</v>
      </c>
      <c r="E150" s="5">
        <f>SUMIF('Counting Kontrak'!$F:$F,B150,'Counting Kontrak'!$G:$G)</f>
        <v>0</v>
      </c>
      <c r="F150" s="5">
        <f t="shared" si="2"/>
        <v>0</v>
      </c>
    </row>
    <row r="151" spans="1:6" x14ac:dyDescent="0.3">
      <c r="A151" s="5">
        <v>150</v>
      </c>
      <c r="B151" s="8" t="s">
        <v>179</v>
      </c>
      <c r="C151" s="5">
        <f>SUMIF('Counting Free'!B:B,'Main Data Kunjungan'!B151,'Counting Kontrak'!E:E)</f>
        <v>0</v>
      </c>
      <c r="D151" s="5">
        <f>SUMIF('Counting Kontrak'!$B:$B,'Main Data Kunjungan'!B151,'Counting Kontrak'!$C:$C)</f>
        <v>0</v>
      </c>
      <c r="E151" s="5">
        <f>SUMIF('Counting Kontrak'!$F:$F,B151,'Counting Kontrak'!$G:$G)</f>
        <v>0</v>
      </c>
      <c r="F151" s="5">
        <f t="shared" si="2"/>
        <v>0</v>
      </c>
    </row>
    <row r="152" spans="1:6" x14ac:dyDescent="0.3">
      <c r="A152" s="5">
        <v>151</v>
      </c>
      <c r="B152" s="8" t="s">
        <v>162</v>
      </c>
      <c r="C152" s="5">
        <f>SUMIF('Counting Free'!B:B,'Main Data Kunjungan'!B152,'Counting Kontrak'!E:E)</f>
        <v>0</v>
      </c>
      <c r="D152" s="5">
        <f>SUMIF('Counting Kontrak'!$B:$B,'Main Data Kunjungan'!B152,'Counting Kontrak'!$C:$C)</f>
        <v>0</v>
      </c>
      <c r="E152" s="5">
        <f>SUMIF('Counting Kontrak'!$F:$F,B152,'Counting Kontrak'!$G:$G)</f>
        <v>0</v>
      </c>
      <c r="F152" s="5">
        <f t="shared" si="2"/>
        <v>0</v>
      </c>
    </row>
    <row r="153" spans="1:6" x14ac:dyDescent="0.3">
      <c r="A153" s="5">
        <v>152</v>
      </c>
      <c r="B153" s="8" t="s">
        <v>147</v>
      </c>
      <c r="C153" s="5">
        <f>SUMIF('Counting Free'!B:B,'Main Data Kunjungan'!B153,'Counting Kontrak'!E:E)</f>
        <v>0</v>
      </c>
      <c r="D153" s="5">
        <f>SUMIF('Counting Kontrak'!$B:$B,'Main Data Kunjungan'!B153,'Counting Kontrak'!$C:$C)</f>
        <v>0</v>
      </c>
      <c r="E153" s="5">
        <f>SUMIF('Counting Kontrak'!$F:$F,B153,'Counting Kontrak'!$G:$G)</f>
        <v>0</v>
      </c>
      <c r="F153" s="5">
        <f t="shared" si="2"/>
        <v>0</v>
      </c>
    </row>
    <row r="154" spans="1:6" x14ac:dyDescent="0.3">
      <c r="A154" s="5">
        <v>153</v>
      </c>
      <c r="B154" s="8" t="s">
        <v>51</v>
      </c>
      <c r="C154" s="5">
        <f>SUMIF('Counting Free'!B:B,'Main Data Kunjungan'!B154,'Counting Kontrak'!E:E)</f>
        <v>0</v>
      </c>
      <c r="D154" s="5">
        <f>SUMIF('Counting Kontrak'!$B:$B,'Main Data Kunjungan'!B154,'Counting Kontrak'!$C:$C)</f>
        <v>0</v>
      </c>
      <c r="E154" s="5">
        <f>SUMIF('Counting Kontrak'!$F:$F,B154,'Counting Kontrak'!$G:$G)</f>
        <v>0</v>
      </c>
      <c r="F154" s="5">
        <f t="shared" si="2"/>
        <v>0</v>
      </c>
    </row>
    <row r="155" spans="1:6" x14ac:dyDescent="0.3">
      <c r="A155" s="5">
        <v>154</v>
      </c>
      <c r="B155" s="8" t="s">
        <v>151</v>
      </c>
      <c r="C155" s="5">
        <f>SUMIF('Counting Free'!B:B,'Main Data Kunjungan'!B155,'Counting Kontrak'!E:E)</f>
        <v>0</v>
      </c>
      <c r="D155" s="5">
        <f>SUMIF('Counting Kontrak'!$B:$B,'Main Data Kunjungan'!B155,'Counting Kontrak'!$C:$C)</f>
        <v>0</v>
      </c>
      <c r="E155" s="5">
        <f>SUMIF('Counting Kontrak'!$F:$F,B155,'Counting Kontrak'!$G:$G)</f>
        <v>0</v>
      </c>
      <c r="F155" s="5">
        <f t="shared" si="2"/>
        <v>0</v>
      </c>
    </row>
    <row r="156" spans="1:6" x14ac:dyDescent="0.3">
      <c r="A156" s="5">
        <v>155</v>
      </c>
      <c r="B156" s="8" t="s">
        <v>42</v>
      </c>
      <c r="C156" s="5">
        <f>SUMIF('Counting Free'!B:B,'Main Data Kunjungan'!B156,'Counting Kontrak'!E:E)</f>
        <v>0</v>
      </c>
      <c r="D156" s="5">
        <f>SUMIF('Counting Kontrak'!$B:$B,'Main Data Kunjungan'!B156,'Counting Kontrak'!$C:$C)</f>
        <v>0</v>
      </c>
      <c r="E156" s="5">
        <f>SUMIF('Counting Kontrak'!$F:$F,B156,'Counting Kontrak'!$G:$G)</f>
        <v>0</v>
      </c>
      <c r="F156" s="5">
        <f t="shared" si="2"/>
        <v>0</v>
      </c>
    </row>
    <row r="157" spans="1:6" x14ac:dyDescent="0.3">
      <c r="A157" s="5">
        <v>156</v>
      </c>
      <c r="B157" s="8" t="s">
        <v>155</v>
      </c>
      <c r="C157" s="5">
        <f>SUMIF('Counting Free'!B:B,'Main Data Kunjungan'!B157,'Counting Kontrak'!E:E)</f>
        <v>0</v>
      </c>
      <c r="D157" s="5">
        <f>SUMIF('Counting Kontrak'!$B:$B,'Main Data Kunjungan'!B157,'Counting Kontrak'!$C:$C)</f>
        <v>0</v>
      </c>
      <c r="E157" s="5">
        <f>SUMIF('Counting Kontrak'!$F:$F,B157,'Counting Kontrak'!$G:$G)</f>
        <v>0</v>
      </c>
      <c r="F157" s="5">
        <f t="shared" si="2"/>
        <v>0</v>
      </c>
    </row>
    <row r="158" spans="1:6" x14ac:dyDescent="0.3">
      <c r="A158" s="5">
        <v>157</v>
      </c>
      <c r="B158" s="8" t="s">
        <v>161</v>
      </c>
      <c r="C158" s="5">
        <f>SUMIF('Counting Free'!B:B,'Main Data Kunjungan'!B158,'Counting Kontrak'!E:E)</f>
        <v>0</v>
      </c>
      <c r="D158" s="5">
        <f>SUMIF('Counting Kontrak'!$B:$B,'Main Data Kunjungan'!B158,'Counting Kontrak'!$C:$C)</f>
        <v>0</v>
      </c>
      <c r="E158" s="5">
        <f>SUMIF('Counting Kontrak'!$F:$F,B158,'Counting Kontrak'!$G:$G)</f>
        <v>0</v>
      </c>
      <c r="F158" s="5">
        <f t="shared" si="2"/>
        <v>0</v>
      </c>
    </row>
    <row r="159" spans="1:6" x14ac:dyDescent="0.3">
      <c r="A159" s="5">
        <v>158</v>
      </c>
      <c r="B159" s="8" t="s">
        <v>161</v>
      </c>
      <c r="C159" s="5">
        <f>SUMIF('Counting Free'!B:B,'Main Data Kunjungan'!B159,'Counting Kontrak'!E:E)</f>
        <v>0</v>
      </c>
      <c r="D159" s="5">
        <f>SUMIF('Counting Kontrak'!$B:$B,'Main Data Kunjungan'!B159,'Counting Kontrak'!$C:$C)</f>
        <v>0</v>
      </c>
      <c r="E159" s="5">
        <f>SUMIF('Counting Kontrak'!$F:$F,B159,'Counting Kontrak'!$G:$G)</f>
        <v>0</v>
      </c>
      <c r="F159" s="5">
        <f t="shared" si="2"/>
        <v>0</v>
      </c>
    </row>
    <row r="160" spans="1:6" x14ac:dyDescent="0.3">
      <c r="A160" s="5">
        <v>159</v>
      </c>
      <c r="B160" s="8" t="s">
        <v>79</v>
      </c>
      <c r="C160" s="5">
        <f>SUMIF('Counting Free'!B:B,'Main Data Kunjungan'!B160,'Counting Kontrak'!E:E)</f>
        <v>0</v>
      </c>
      <c r="D160" s="5">
        <f>SUMIF('Counting Kontrak'!$B:$B,'Main Data Kunjungan'!B160,'Counting Kontrak'!$C:$C)</f>
        <v>0</v>
      </c>
      <c r="E160" s="5">
        <f>SUMIF('Counting Kontrak'!$F:$F,B160,'Counting Kontrak'!$G:$G)</f>
        <v>0</v>
      </c>
      <c r="F160" s="5">
        <f t="shared" si="2"/>
        <v>0</v>
      </c>
    </row>
    <row r="161" spans="1:6" x14ac:dyDescent="0.3">
      <c r="A161" s="5">
        <v>160</v>
      </c>
      <c r="B161" s="8" t="s">
        <v>126</v>
      </c>
      <c r="C161" s="5">
        <f>SUMIF('Counting Free'!B:B,'Main Data Kunjungan'!B161,'Counting Kontrak'!E:E)</f>
        <v>0</v>
      </c>
      <c r="D161" s="5">
        <f>SUMIF('Counting Kontrak'!$B:$B,'Main Data Kunjungan'!B161,'Counting Kontrak'!$C:$C)</f>
        <v>0</v>
      </c>
      <c r="E161" s="5">
        <f>SUMIF('Counting Kontrak'!$F:$F,B161,'Counting Kontrak'!$G:$G)</f>
        <v>0</v>
      </c>
      <c r="F161" s="5">
        <f t="shared" si="2"/>
        <v>0</v>
      </c>
    </row>
    <row r="162" spans="1:6" x14ac:dyDescent="0.3">
      <c r="A162" s="5">
        <v>161</v>
      </c>
      <c r="B162" s="8" t="s">
        <v>180</v>
      </c>
      <c r="C162" s="5">
        <f>SUMIF('Counting Free'!B:B,'Main Data Kunjungan'!B162,'Counting Kontrak'!E:E)</f>
        <v>0</v>
      </c>
      <c r="D162" s="5">
        <f>SUMIF('Counting Kontrak'!$B:$B,'Main Data Kunjungan'!B162,'Counting Kontrak'!$C:$C)</f>
        <v>0</v>
      </c>
      <c r="E162" s="5">
        <f>SUMIF('Counting Kontrak'!$F:$F,B162,'Counting Kontrak'!$G:$G)</f>
        <v>0</v>
      </c>
      <c r="F162" s="5">
        <f t="shared" si="2"/>
        <v>0</v>
      </c>
    </row>
    <row r="163" spans="1:6" x14ac:dyDescent="0.3">
      <c r="A163" s="5">
        <v>162</v>
      </c>
      <c r="B163" s="8" t="s">
        <v>78</v>
      </c>
      <c r="C163" s="5">
        <f>SUMIF('Counting Free'!B:B,'Main Data Kunjungan'!B163,'Counting Kontrak'!E:E)</f>
        <v>0</v>
      </c>
      <c r="D163" s="5">
        <f>SUMIF('Counting Kontrak'!$B:$B,'Main Data Kunjungan'!B163,'Counting Kontrak'!$C:$C)</f>
        <v>0</v>
      </c>
      <c r="E163" s="5">
        <f>SUMIF('Counting Kontrak'!$F:$F,B163,'Counting Kontrak'!$G:$G)</f>
        <v>0</v>
      </c>
      <c r="F163" s="5">
        <f t="shared" si="2"/>
        <v>0</v>
      </c>
    </row>
    <row r="164" spans="1:6" x14ac:dyDescent="0.3">
      <c r="A164" s="5">
        <v>163</v>
      </c>
      <c r="B164" s="8" t="s">
        <v>156</v>
      </c>
      <c r="C164" s="5">
        <f>SUMIF('Counting Free'!B:B,'Main Data Kunjungan'!B164,'Counting Kontrak'!E:E)</f>
        <v>0</v>
      </c>
      <c r="D164" s="5">
        <f>SUMIF('Counting Kontrak'!$B:$B,'Main Data Kunjungan'!B164,'Counting Kontrak'!$C:$C)</f>
        <v>0</v>
      </c>
      <c r="E164" s="5">
        <f>SUMIF('Counting Kontrak'!$F:$F,B164,'Counting Kontrak'!$G:$G)</f>
        <v>0</v>
      </c>
      <c r="F164" s="5">
        <f t="shared" si="2"/>
        <v>0</v>
      </c>
    </row>
    <row r="165" spans="1:6" x14ac:dyDescent="0.3">
      <c r="A165" s="5">
        <v>164</v>
      </c>
      <c r="B165" s="8" t="s">
        <v>157</v>
      </c>
      <c r="C165" s="5">
        <f>SUMIF('Counting Free'!B:B,'Main Data Kunjungan'!B165,'Counting Kontrak'!E:E)</f>
        <v>0</v>
      </c>
      <c r="D165" s="5">
        <f>SUMIF('Counting Kontrak'!$B:$B,'Main Data Kunjungan'!B165,'Counting Kontrak'!$C:$C)</f>
        <v>0</v>
      </c>
      <c r="E165" s="5">
        <f>SUMIF('Counting Kontrak'!$F:$F,B165,'Counting Kontrak'!$G:$G)</f>
        <v>0</v>
      </c>
      <c r="F165" s="5">
        <f t="shared" si="2"/>
        <v>0</v>
      </c>
    </row>
    <row r="166" spans="1:6" x14ac:dyDescent="0.3">
      <c r="A166" s="5">
        <v>165</v>
      </c>
      <c r="B166" s="8" t="s">
        <v>163</v>
      </c>
      <c r="C166" s="5">
        <f>SUMIF('Counting Free'!B:B,'Main Data Kunjungan'!B166,'Counting Kontrak'!E:E)</f>
        <v>0</v>
      </c>
      <c r="D166" s="5">
        <f>SUMIF('Counting Kontrak'!$B:$B,'Main Data Kunjungan'!B166,'Counting Kontrak'!$C:$C)</f>
        <v>0</v>
      </c>
      <c r="E166" s="5">
        <f>SUMIF('Counting Kontrak'!$F:$F,B166,'Counting Kontrak'!$G:$G)</f>
        <v>0</v>
      </c>
      <c r="F166" s="5">
        <f t="shared" si="2"/>
        <v>0</v>
      </c>
    </row>
    <row r="167" spans="1:6" x14ac:dyDescent="0.3">
      <c r="A167" s="5">
        <v>166</v>
      </c>
      <c r="B167" s="8" t="s">
        <v>187</v>
      </c>
      <c r="C167" s="5">
        <f>SUMIF('Counting Free'!B:B,'Main Data Kunjungan'!B167,'Counting Kontrak'!E:E)</f>
        <v>0</v>
      </c>
      <c r="D167" s="5">
        <f>SUMIF('Counting Kontrak'!$B:$B,'Main Data Kunjungan'!B167,'Counting Kontrak'!$C:$C)</f>
        <v>0</v>
      </c>
      <c r="E167" s="5">
        <f>SUMIF('Counting Kontrak'!$F:$F,B167,'Counting Kontrak'!$G:$G)</f>
        <v>0</v>
      </c>
      <c r="F167" s="5">
        <f t="shared" si="2"/>
        <v>0</v>
      </c>
    </row>
    <row r="168" spans="1:6" x14ac:dyDescent="0.3">
      <c r="A168" s="5">
        <v>167</v>
      </c>
      <c r="B168" s="8" t="s">
        <v>167</v>
      </c>
      <c r="C168" s="5">
        <f>SUMIF('Counting Free'!B:B,'Main Data Kunjungan'!B168,'Counting Kontrak'!E:E)</f>
        <v>0</v>
      </c>
      <c r="D168" s="5">
        <f>SUMIF('Counting Kontrak'!$B:$B,'Main Data Kunjungan'!B168,'Counting Kontrak'!$C:$C)</f>
        <v>0</v>
      </c>
      <c r="E168" s="5">
        <f>SUMIF('Counting Kontrak'!$F:$F,B168,'Counting Kontrak'!$G:$G)</f>
        <v>0</v>
      </c>
      <c r="F168" s="5">
        <f t="shared" si="2"/>
        <v>0</v>
      </c>
    </row>
    <row r="169" spans="1:6" x14ac:dyDescent="0.3">
      <c r="A169" s="5">
        <v>168</v>
      </c>
      <c r="B169" s="8" t="s">
        <v>185</v>
      </c>
      <c r="C169" s="5">
        <f>SUMIF('Counting Free'!B:B,'Main Data Kunjungan'!B169,'Counting Kontrak'!E:E)</f>
        <v>0</v>
      </c>
      <c r="D169" s="5">
        <f>SUMIF('Counting Kontrak'!$B:$B,'Main Data Kunjungan'!B169,'Counting Kontrak'!$C:$C)</f>
        <v>0</v>
      </c>
      <c r="E169" s="5">
        <f>SUMIF('Counting Kontrak'!$F:$F,B169,'Counting Kontrak'!$G:$G)</f>
        <v>0</v>
      </c>
      <c r="F169" s="5">
        <f t="shared" si="2"/>
        <v>0</v>
      </c>
    </row>
    <row r="170" spans="1:6" x14ac:dyDescent="0.3">
      <c r="A170" s="5">
        <v>169</v>
      </c>
      <c r="B170" s="8" t="s">
        <v>73</v>
      </c>
      <c r="C170" s="5">
        <f>SUMIF('Counting Free'!B:B,'Main Data Kunjungan'!B170,'Counting Kontrak'!E:E)</f>
        <v>0</v>
      </c>
      <c r="D170" s="5">
        <f>SUMIF('Counting Kontrak'!$B:$B,'Main Data Kunjungan'!B170,'Counting Kontrak'!$C:$C)</f>
        <v>0</v>
      </c>
      <c r="E170" s="5">
        <f>SUMIF('Counting Kontrak'!$F:$F,B170,'Counting Kontrak'!$G:$G)</f>
        <v>0</v>
      </c>
      <c r="F170" s="5">
        <f t="shared" si="2"/>
        <v>0</v>
      </c>
    </row>
    <row r="171" spans="1:6" x14ac:dyDescent="0.3">
      <c r="A171" s="5">
        <v>170</v>
      </c>
      <c r="B171" s="8" t="s">
        <v>186</v>
      </c>
      <c r="C171" s="5">
        <f>SUMIF('Counting Free'!B:B,'Main Data Kunjungan'!B171,'Counting Kontrak'!E:E)</f>
        <v>0</v>
      </c>
      <c r="D171" s="5">
        <f>SUMIF('Counting Kontrak'!$B:$B,'Main Data Kunjungan'!B171,'Counting Kontrak'!$C:$C)</f>
        <v>0</v>
      </c>
      <c r="E171" s="5">
        <f>SUMIF('Counting Kontrak'!$F:$F,B171,'Counting Kontrak'!$G:$G)</f>
        <v>0</v>
      </c>
      <c r="F171" s="5">
        <f t="shared" si="2"/>
        <v>0</v>
      </c>
    </row>
    <row r="172" spans="1:6" x14ac:dyDescent="0.3">
      <c r="A172" s="5">
        <v>171</v>
      </c>
      <c r="B172" s="8" t="s">
        <v>175</v>
      </c>
      <c r="C172" s="5">
        <f>SUMIF('Counting Free'!B:B,'Main Data Kunjungan'!B172,'Counting Kontrak'!E:E)</f>
        <v>0</v>
      </c>
      <c r="D172" s="5">
        <f>SUMIF('Counting Kontrak'!$B:$B,'Main Data Kunjungan'!B172,'Counting Kontrak'!$C:$C)</f>
        <v>0</v>
      </c>
      <c r="E172" s="5">
        <f>SUMIF('Counting Kontrak'!$F:$F,B172,'Counting Kontrak'!$G:$G)</f>
        <v>0</v>
      </c>
      <c r="F172" s="5">
        <f t="shared" si="2"/>
        <v>0</v>
      </c>
    </row>
    <row r="173" spans="1:6" x14ac:dyDescent="0.3">
      <c r="A173" s="5">
        <v>172</v>
      </c>
      <c r="B173" s="8" t="s">
        <v>181</v>
      </c>
      <c r="C173" s="5">
        <f>SUMIF('Counting Free'!B:B,'Main Data Kunjungan'!B173,'Counting Kontrak'!E:E)</f>
        <v>0</v>
      </c>
      <c r="D173" s="5">
        <f>SUMIF('Counting Kontrak'!$B:$B,'Main Data Kunjungan'!B173,'Counting Kontrak'!$C:$C)</f>
        <v>0</v>
      </c>
      <c r="E173" s="5">
        <f>SUMIF('Counting Kontrak'!$F:$F,B173,'Counting Kontrak'!$G:$G)</f>
        <v>0</v>
      </c>
      <c r="F173" s="5">
        <f t="shared" si="2"/>
        <v>0</v>
      </c>
    </row>
    <row r="174" spans="1:6" x14ac:dyDescent="0.3">
      <c r="A174" s="5">
        <v>173</v>
      </c>
      <c r="B174" s="8" t="s">
        <v>168</v>
      </c>
      <c r="C174" s="5">
        <f>SUMIF('Counting Free'!B:B,'Main Data Kunjungan'!B174,'Counting Kontrak'!E:E)</f>
        <v>0</v>
      </c>
      <c r="D174" s="5">
        <f>SUMIF('Counting Kontrak'!$B:$B,'Main Data Kunjungan'!B174,'Counting Kontrak'!$C:$C)</f>
        <v>0</v>
      </c>
      <c r="E174" s="5">
        <f>SUMIF('Counting Kontrak'!$F:$F,B174,'Counting Kontrak'!$G:$G)</f>
        <v>0</v>
      </c>
      <c r="F174" s="5">
        <f t="shared" si="2"/>
        <v>0</v>
      </c>
    </row>
    <row r="175" spans="1:6" x14ac:dyDescent="0.3">
      <c r="A175" s="5">
        <v>174</v>
      </c>
      <c r="B175" s="8" t="s">
        <v>194</v>
      </c>
      <c r="C175" s="5">
        <f>SUMIF('Counting Free'!B:B,'Main Data Kunjungan'!B175,'Counting Kontrak'!E:E)</f>
        <v>0</v>
      </c>
      <c r="D175" s="5">
        <f>SUMIF('Counting Kontrak'!$B:$B,'Main Data Kunjungan'!B175,'Counting Kontrak'!$C:$C)</f>
        <v>0</v>
      </c>
      <c r="E175" s="5">
        <f>SUMIF('Counting Kontrak'!$F:$F,B175,'Counting Kontrak'!$G:$G)</f>
        <v>0</v>
      </c>
      <c r="F175" s="5">
        <f t="shared" si="2"/>
        <v>0</v>
      </c>
    </row>
    <row r="176" spans="1:6" x14ac:dyDescent="0.3">
      <c r="A176" s="5">
        <v>175</v>
      </c>
      <c r="B176" s="8" t="s">
        <v>428</v>
      </c>
      <c r="C176" s="5">
        <f>SUMIF('Counting Free'!B:B,'Main Data Kunjungan'!B176,'Counting Kontrak'!E:E)</f>
        <v>0</v>
      </c>
      <c r="D176" s="5">
        <f>SUMIF('Counting Kontrak'!$B:$B,'Main Data Kunjungan'!B176,'Counting Kontrak'!$C:$C)</f>
        <v>0</v>
      </c>
      <c r="E176" s="5">
        <f>SUMIF('Counting Kontrak'!$F:$F,B176,'Counting Kontrak'!$G:$G)</f>
        <v>0</v>
      </c>
      <c r="F176" s="5">
        <f t="shared" si="2"/>
        <v>0</v>
      </c>
    </row>
    <row r="177" spans="1:6" x14ac:dyDescent="0.3">
      <c r="A177" s="5">
        <v>176</v>
      </c>
      <c r="B177" s="8" t="s">
        <v>158</v>
      </c>
      <c r="C177" s="5">
        <f>SUMIF('Counting Free'!B:B,'Main Data Kunjungan'!B177,'Counting Kontrak'!E:E)</f>
        <v>0</v>
      </c>
      <c r="D177" s="5">
        <f>SUMIF('Counting Kontrak'!$B:$B,'Main Data Kunjungan'!B177,'Counting Kontrak'!$C:$C)</f>
        <v>0</v>
      </c>
      <c r="E177" s="5">
        <f>SUMIF('Counting Kontrak'!$F:$F,B177,'Counting Kontrak'!$G:$G)</f>
        <v>0</v>
      </c>
      <c r="F177" s="5">
        <f t="shared" si="2"/>
        <v>0</v>
      </c>
    </row>
    <row r="178" spans="1:6" x14ac:dyDescent="0.3">
      <c r="A178" s="5">
        <v>177</v>
      </c>
      <c r="B178" s="8" t="s">
        <v>169</v>
      </c>
      <c r="C178" s="5">
        <f>SUMIF('Counting Free'!B:B,'Main Data Kunjungan'!B178,'Counting Kontrak'!E:E)</f>
        <v>0</v>
      </c>
      <c r="D178" s="5">
        <f>SUMIF('Counting Kontrak'!$B:$B,'Main Data Kunjungan'!B178,'Counting Kontrak'!$C:$C)</f>
        <v>0</v>
      </c>
      <c r="E178" s="5">
        <f>SUMIF('Counting Kontrak'!$F:$F,B178,'Counting Kontrak'!$G:$G)</f>
        <v>0</v>
      </c>
      <c r="F178" s="5">
        <f t="shared" si="2"/>
        <v>0</v>
      </c>
    </row>
    <row r="179" spans="1:6" x14ac:dyDescent="0.3">
      <c r="A179" s="5">
        <v>178</v>
      </c>
      <c r="B179" s="8" t="s">
        <v>190</v>
      </c>
      <c r="C179" s="5">
        <f>SUMIF('Counting Free'!B:B,'Main Data Kunjungan'!B179,'Counting Kontrak'!E:E)</f>
        <v>0</v>
      </c>
      <c r="D179" s="5">
        <f>SUMIF('Counting Kontrak'!$B:$B,'Main Data Kunjungan'!B179,'Counting Kontrak'!$C:$C)</f>
        <v>0</v>
      </c>
      <c r="E179" s="5">
        <f>SUMIF('Counting Kontrak'!$F:$F,B179,'Counting Kontrak'!$G:$G)</f>
        <v>0</v>
      </c>
      <c r="F179" s="5">
        <f t="shared" si="2"/>
        <v>0</v>
      </c>
    </row>
    <row r="180" spans="1:6" x14ac:dyDescent="0.3">
      <c r="A180" s="5">
        <v>179</v>
      </c>
      <c r="B180" s="8" t="s">
        <v>190</v>
      </c>
      <c r="C180" s="5">
        <f>SUMIF('Counting Free'!B:B,'Main Data Kunjungan'!B180,'Counting Kontrak'!E:E)</f>
        <v>0</v>
      </c>
      <c r="D180" s="5">
        <f>SUMIF('Counting Kontrak'!$B:$B,'Main Data Kunjungan'!B180,'Counting Kontrak'!$C:$C)</f>
        <v>0</v>
      </c>
      <c r="E180" s="5">
        <f>SUMIF('Counting Kontrak'!$F:$F,B180,'Counting Kontrak'!$G:$G)</f>
        <v>0</v>
      </c>
      <c r="F180" s="5">
        <f t="shared" si="2"/>
        <v>0</v>
      </c>
    </row>
    <row r="181" spans="1:6" x14ac:dyDescent="0.3">
      <c r="A181" s="5">
        <v>180</v>
      </c>
      <c r="B181" s="8" t="s">
        <v>190</v>
      </c>
      <c r="C181" s="5">
        <f>SUMIF('Counting Free'!B:B,'Main Data Kunjungan'!B181,'Counting Kontrak'!E:E)</f>
        <v>0</v>
      </c>
      <c r="D181" s="5">
        <f>SUMIF('Counting Kontrak'!$B:$B,'Main Data Kunjungan'!B181,'Counting Kontrak'!$C:$C)</f>
        <v>0</v>
      </c>
      <c r="E181" s="5">
        <f>SUMIF('Counting Kontrak'!$F:$F,B181,'Counting Kontrak'!$G:$G)</f>
        <v>0</v>
      </c>
      <c r="F181" s="5">
        <f t="shared" si="2"/>
        <v>0</v>
      </c>
    </row>
    <row r="182" spans="1:6" x14ac:dyDescent="0.3">
      <c r="A182" s="5">
        <v>181</v>
      </c>
      <c r="B182" s="8" t="s">
        <v>144</v>
      </c>
      <c r="C182" s="5">
        <f>SUMIF('Counting Free'!B:B,'Main Data Kunjungan'!B182,'Counting Kontrak'!E:E)</f>
        <v>0</v>
      </c>
      <c r="D182" s="5">
        <f>SUMIF('Counting Kontrak'!$B:$B,'Main Data Kunjungan'!B182,'Counting Kontrak'!$C:$C)</f>
        <v>0</v>
      </c>
      <c r="E182" s="5">
        <f>SUMIF('Counting Kontrak'!$F:$F,B182,'Counting Kontrak'!$G:$G)</f>
        <v>0</v>
      </c>
      <c r="F182" s="5">
        <f t="shared" si="2"/>
        <v>0</v>
      </c>
    </row>
    <row r="183" spans="1:6" x14ac:dyDescent="0.3">
      <c r="A183" s="5">
        <v>182</v>
      </c>
      <c r="B183" s="8" t="s">
        <v>118</v>
      </c>
      <c r="C183" s="5">
        <f>SUMIF('Counting Free'!B:B,'Main Data Kunjungan'!B183,'Counting Kontrak'!E:E)</f>
        <v>0</v>
      </c>
      <c r="D183" s="5">
        <f>SUMIF('Counting Kontrak'!$B:$B,'Main Data Kunjungan'!B183,'Counting Kontrak'!$C:$C)</f>
        <v>0</v>
      </c>
      <c r="E183" s="5">
        <f>SUMIF('Counting Kontrak'!$F:$F,B183,'Counting Kontrak'!$G:$G)</f>
        <v>0</v>
      </c>
      <c r="F183" s="5">
        <f t="shared" si="2"/>
        <v>0</v>
      </c>
    </row>
    <row r="184" spans="1:6" x14ac:dyDescent="0.3">
      <c r="A184" s="5">
        <v>183</v>
      </c>
      <c r="B184" s="8" t="s">
        <v>149</v>
      </c>
      <c r="C184" s="5">
        <f>SUMIF('Counting Free'!B:B,'Main Data Kunjungan'!B184,'Counting Kontrak'!E:E)</f>
        <v>0</v>
      </c>
      <c r="D184" s="5">
        <f>SUMIF('Counting Kontrak'!$B:$B,'Main Data Kunjungan'!B184,'Counting Kontrak'!$C:$C)</f>
        <v>0</v>
      </c>
      <c r="E184" s="5">
        <f>SUMIF('Counting Kontrak'!$F:$F,B184,'Counting Kontrak'!$G:$G)</f>
        <v>0</v>
      </c>
      <c r="F184" s="5">
        <f t="shared" si="2"/>
        <v>0</v>
      </c>
    </row>
    <row r="185" spans="1:6" x14ac:dyDescent="0.3">
      <c r="A185" s="5">
        <v>184</v>
      </c>
      <c r="B185" s="8" t="s">
        <v>182</v>
      </c>
      <c r="C185" s="5">
        <f>SUMIF('Counting Free'!B:B,'Main Data Kunjungan'!B185,'Counting Kontrak'!E:E)</f>
        <v>0</v>
      </c>
      <c r="D185" s="5">
        <f>SUMIF('Counting Kontrak'!$B:$B,'Main Data Kunjungan'!B185,'Counting Kontrak'!$C:$C)</f>
        <v>0</v>
      </c>
      <c r="E185" s="5">
        <f>SUMIF('Counting Kontrak'!$F:$F,B185,'Counting Kontrak'!$G:$G)</f>
        <v>0</v>
      </c>
      <c r="F185" s="5">
        <f t="shared" si="2"/>
        <v>0</v>
      </c>
    </row>
    <row r="186" spans="1:6" x14ac:dyDescent="0.3">
      <c r="A186" s="5">
        <v>185</v>
      </c>
      <c r="B186" s="8" t="s">
        <v>195</v>
      </c>
      <c r="C186" s="5">
        <f>SUMIF('Counting Free'!B:B,'Main Data Kunjungan'!B186,'Counting Kontrak'!E:E)</f>
        <v>0</v>
      </c>
      <c r="D186" s="5">
        <f>SUMIF('Counting Kontrak'!$B:$B,'Main Data Kunjungan'!B186,'Counting Kontrak'!$C:$C)</f>
        <v>0</v>
      </c>
      <c r="E186" s="5">
        <f>SUMIF('Counting Kontrak'!$F:$F,B186,'Counting Kontrak'!$G:$G)</f>
        <v>0</v>
      </c>
      <c r="F186" s="5">
        <f t="shared" si="2"/>
        <v>0</v>
      </c>
    </row>
    <row r="187" spans="1:6" x14ac:dyDescent="0.3">
      <c r="A187" s="5">
        <v>186</v>
      </c>
      <c r="B187" s="8" t="s">
        <v>178</v>
      </c>
      <c r="C187" s="5">
        <f>SUMIF('Counting Free'!B:B,'Main Data Kunjungan'!B187,'Counting Kontrak'!E:E)</f>
        <v>0</v>
      </c>
      <c r="D187" s="5">
        <f>SUMIF('Counting Kontrak'!$B:$B,'Main Data Kunjungan'!B187,'Counting Kontrak'!$C:$C)</f>
        <v>0</v>
      </c>
      <c r="E187" s="5">
        <f>SUMIF('Counting Kontrak'!$F:$F,B187,'Counting Kontrak'!$G:$G)</f>
        <v>0</v>
      </c>
      <c r="F187" s="5">
        <f t="shared" si="2"/>
        <v>0</v>
      </c>
    </row>
    <row r="188" spans="1:6" x14ac:dyDescent="0.3">
      <c r="A188" s="5">
        <v>187</v>
      </c>
      <c r="B188" s="8" t="s">
        <v>132</v>
      </c>
      <c r="C188" s="5">
        <f>SUMIF('Counting Free'!B:B,'Main Data Kunjungan'!B188,'Counting Kontrak'!E:E)</f>
        <v>0</v>
      </c>
      <c r="D188" s="5">
        <f>SUMIF('Counting Kontrak'!$B:$B,'Main Data Kunjungan'!B188,'Counting Kontrak'!$C:$C)</f>
        <v>0</v>
      </c>
      <c r="E188" s="5">
        <f>SUMIF('Counting Kontrak'!$F:$F,B188,'Counting Kontrak'!$G:$G)</f>
        <v>0</v>
      </c>
      <c r="F188" s="5">
        <f t="shared" si="2"/>
        <v>0</v>
      </c>
    </row>
    <row r="189" spans="1:6" x14ac:dyDescent="0.3">
      <c r="A189" s="5">
        <v>188</v>
      </c>
      <c r="B189" s="8" t="s">
        <v>164</v>
      </c>
      <c r="C189" s="5">
        <f>SUMIF('Counting Free'!B:B,'Main Data Kunjungan'!B189,'Counting Kontrak'!E:E)</f>
        <v>0</v>
      </c>
      <c r="D189" s="5">
        <f>SUMIF('Counting Kontrak'!$B:$B,'Main Data Kunjungan'!B189,'Counting Kontrak'!$C:$C)</f>
        <v>0</v>
      </c>
      <c r="E189" s="5">
        <f>SUMIF('Counting Kontrak'!$F:$F,B189,'Counting Kontrak'!$G:$G)</f>
        <v>0</v>
      </c>
      <c r="F189" s="5">
        <f t="shared" si="2"/>
        <v>0</v>
      </c>
    </row>
    <row r="190" spans="1:6" x14ac:dyDescent="0.3">
      <c r="A190" s="5">
        <v>189</v>
      </c>
      <c r="B190" s="8" t="s">
        <v>176</v>
      </c>
      <c r="C190" s="5">
        <f>SUMIF('Counting Free'!B:B,'Main Data Kunjungan'!B190,'Counting Kontrak'!E:E)</f>
        <v>0</v>
      </c>
      <c r="D190" s="5">
        <f>SUMIF('Counting Kontrak'!$B:$B,'Main Data Kunjungan'!B190,'Counting Kontrak'!$C:$C)</f>
        <v>0</v>
      </c>
      <c r="E190" s="5">
        <f>SUMIF('Counting Kontrak'!$F:$F,B190,'Counting Kontrak'!$G:$G)</f>
        <v>0</v>
      </c>
      <c r="F190" s="5">
        <f t="shared" si="2"/>
        <v>0</v>
      </c>
    </row>
    <row r="191" spans="1:6" x14ac:dyDescent="0.3">
      <c r="A191" s="5">
        <v>190</v>
      </c>
      <c r="B191" s="8" t="s">
        <v>196</v>
      </c>
      <c r="C191" s="5">
        <f>SUMIF('Counting Free'!B:B,'Main Data Kunjungan'!B191,'Counting Kontrak'!E:E)</f>
        <v>0</v>
      </c>
      <c r="D191" s="5">
        <f>SUMIF('Counting Kontrak'!$B:$B,'Main Data Kunjungan'!B191,'Counting Kontrak'!$C:$C)</f>
        <v>0</v>
      </c>
      <c r="E191" s="5">
        <f>SUMIF('Counting Kontrak'!$F:$F,B191,'Counting Kontrak'!$G:$G)</f>
        <v>0</v>
      </c>
      <c r="F191" s="5">
        <f t="shared" si="2"/>
        <v>0</v>
      </c>
    </row>
    <row r="192" spans="1:6" x14ac:dyDescent="0.3">
      <c r="A192" s="5">
        <v>191</v>
      </c>
      <c r="B192" s="8" t="s">
        <v>202</v>
      </c>
      <c r="C192" s="5">
        <f>SUMIF('Counting Free'!B:B,'Main Data Kunjungan'!B192,'Counting Kontrak'!E:E)</f>
        <v>0</v>
      </c>
      <c r="D192" s="5">
        <f>SUMIF('Counting Kontrak'!$B:$B,'Main Data Kunjungan'!B192,'Counting Kontrak'!$C:$C)</f>
        <v>0</v>
      </c>
      <c r="E192" s="5">
        <f>SUMIF('Counting Kontrak'!$F:$F,B192,'Counting Kontrak'!$G:$G)</f>
        <v>0</v>
      </c>
      <c r="F192" s="5">
        <f t="shared" si="2"/>
        <v>0</v>
      </c>
    </row>
    <row r="193" spans="1:6" x14ac:dyDescent="0.3">
      <c r="A193" s="5">
        <v>192</v>
      </c>
      <c r="B193" s="8" t="s">
        <v>174</v>
      </c>
      <c r="C193" s="5">
        <f>SUMIF('Counting Free'!B:B,'Main Data Kunjungan'!B193,'Counting Kontrak'!E:E)</f>
        <v>0</v>
      </c>
      <c r="D193" s="5">
        <f>SUMIF('Counting Kontrak'!$B:$B,'Main Data Kunjungan'!B193,'Counting Kontrak'!$C:$C)</f>
        <v>0</v>
      </c>
      <c r="E193" s="5">
        <f>SUMIF('Counting Kontrak'!$F:$F,B193,'Counting Kontrak'!$G:$G)</f>
        <v>0</v>
      </c>
      <c r="F193" s="5">
        <f t="shared" si="2"/>
        <v>0</v>
      </c>
    </row>
    <row r="194" spans="1:6" x14ac:dyDescent="0.3">
      <c r="A194" s="5">
        <v>193</v>
      </c>
      <c r="B194" s="8" t="s">
        <v>188</v>
      </c>
      <c r="C194" s="5">
        <f>SUMIF('Counting Free'!B:B,'Main Data Kunjungan'!B194,'Counting Kontrak'!E:E)</f>
        <v>0</v>
      </c>
      <c r="D194" s="5">
        <f>SUMIF('Counting Kontrak'!$B:$B,'Main Data Kunjungan'!B194,'Counting Kontrak'!$C:$C)</f>
        <v>0</v>
      </c>
      <c r="E194" s="5">
        <f>SUMIF('Counting Kontrak'!$F:$F,B194,'Counting Kontrak'!$G:$G)</f>
        <v>0</v>
      </c>
      <c r="F194" s="5">
        <f t="shared" si="2"/>
        <v>0</v>
      </c>
    </row>
    <row r="195" spans="1:6" x14ac:dyDescent="0.3">
      <c r="A195" s="5">
        <v>194</v>
      </c>
      <c r="B195" s="8" t="s">
        <v>199</v>
      </c>
      <c r="C195" s="5">
        <f>SUMIF('Counting Free'!B:B,'Main Data Kunjungan'!B195,'Counting Kontrak'!E:E)</f>
        <v>0</v>
      </c>
      <c r="D195" s="5">
        <f>SUMIF('Counting Kontrak'!$B:$B,'Main Data Kunjungan'!B195,'Counting Kontrak'!$C:$C)</f>
        <v>0</v>
      </c>
      <c r="E195" s="5">
        <f>SUMIF('Counting Kontrak'!$F:$F,B195,'Counting Kontrak'!$G:$G)</f>
        <v>0</v>
      </c>
      <c r="F195" s="5">
        <f t="shared" ref="F195:F258" si="3">C195+D195-E195</f>
        <v>0</v>
      </c>
    </row>
    <row r="196" spans="1:6" x14ac:dyDescent="0.3">
      <c r="A196" s="5">
        <v>195</v>
      </c>
      <c r="B196" s="8" t="s">
        <v>197</v>
      </c>
      <c r="C196" s="5">
        <f>SUMIF('Counting Free'!B:B,'Main Data Kunjungan'!B196,'Counting Kontrak'!E:E)</f>
        <v>0</v>
      </c>
      <c r="D196" s="5">
        <f>SUMIF('Counting Kontrak'!$B:$B,'Main Data Kunjungan'!B196,'Counting Kontrak'!$C:$C)</f>
        <v>0</v>
      </c>
      <c r="E196" s="5">
        <f>SUMIF('Counting Kontrak'!$F:$F,B196,'Counting Kontrak'!$G:$G)</f>
        <v>0</v>
      </c>
      <c r="F196" s="5">
        <f t="shared" si="3"/>
        <v>0</v>
      </c>
    </row>
    <row r="197" spans="1:6" x14ac:dyDescent="0.3">
      <c r="A197" s="5">
        <v>196</v>
      </c>
      <c r="B197" s="8" t="s">
        <v>184</v>
      </c>
      <c r="C197" s="5">
        <f>SUMIF('Counting Free'!B:B,'Main Data Kunjungan'!B197,'Counting Kontrak'!E:E)</f>
        <v>0</v>
      </c>
      <c r="D197" s="5">
        <f>SUMIF('Counting Kontrak'!$B:$B,'Main Data Kunjungan'!B197,'Counting Kontrak'!$C:$C)</f>
        <v>0</v>
      </c>
      <c r="E197" s="5">
        <f>SUMIF('Counting Kontrak'!$F:$F,B197,'Counting Kontrak'!$G:$G)</f>
        <v>0</v>
      </c>
      <c r="F197" s="5">
        <f t="shared" si="3"/>
        <v>0</v>
      </c>
    </row>
    <row r="198" spans="1:6" x14ac:dyDescent="0.3">
      <c r="A198" s="5">
        <v>197</v>
      </c>
      <c r="B198" s="8" t="s">
        <v>203</v>
      </c>
      <c r="C198" s="5">
        <f>SUMIF('Counting Free'!B:B,'Main Data Kunjungan'!B198,'Counting Kontrak'!E:E)</f>
        <v>0</v>
      </c>
      <c r="D198" s="5">
        <f>SUMIF('Counting Kontrak'!$B:$B,'Main Data Kunjungan'!B198,'Counting Kontrak'!$C:$C)</f>
        <v>0</v>
      </c>
      <c r="E198" s="5">
        <f>SUMIF('Counting Kontrak'!$F:$F,B198,'Counting Kontrak'!$G:$G)</f>
        <v>0</v>
      </c>
      <c r="F198" s="5">
        <f t="shared" si="3"/>
        <v>0</v>
      </c>
    </row>
    <row r="199" spans="1:6" x14ac:dyDescent="0.3">
      <c r="A199" s="5">
        <v>198</v>
      </c>
      <c r="B199" s="8" t="s">
        <v>133</v>
      </c>
      <c r="C199" s="5">
        <f>SUMIF('Counting Free'!B:B,'Main Data Kunjungan'!B199,'Counting Kontrak'!E:E)</f>
        <v>0</v>
      </c>
      <c r="D199" s="5">
        <f>SUMIF('Counting Kontrak'!$B:$B,'Main Data Kunjungan'!B199,'Counting Kontrak'!$C:$C)</f>
        <v>0</v>
      </c>
      <c r="E199" s="5">
        <f>SUMIF('Counting Kontrak'!$F:$F,B199,'Counting Kontrak'!$G:$G)</f>
        <v>0</v>
      </c>
      <c r="F199" s="5">
        <f t="shared" si="3"/>
        <v>0</v>
      </c>
    </row>
    <row r="200" spans="1:6" x14ac:dyDescent="0.3">
      <c r="A200" s="5">
        <v>199</v>
      </c>
      <c r="B200" s="8" t="s">
        <v>191</v>
      </c>
      <c r="C200" s="5">
        <f>SUMIF('Counting Free'!B:B,'Main Data Kunjungan'!B200,'Counting Kontrak'!E:E)</f>
        <v>0</v>
      </c>
      <c r="D200" s="5">
        <f>SUMIF('Counting Kontrak'!$B:$B,'Main Data Kunjungan'!B200,'Counting Kontrak'!$C:$C)</f>
        <v>0</v>
      </c>
      <c r="E200" s="5">
        <f>SUMIF('Counting Kontrak'!$F:$F,B200,'Counting Kontrak'!$G:$G)</f>
        <v>0</v>
      </c>
      <c r="F200" s="5">
        <f t="shared" si="3"/>
        <v>0</v>
      </c>
    </row>
    <row r="201" spans="1:6" x14ac:dyDescent="0.3">
      <c r="A201" s="5">
        <v>200</v>
      </c>
      <c r="B201" s="8" t="s">
        <v>189</v>
      </c>
      <c r="C201" s="5">
        <f>SUMIF('Counting Free'!B:B,'Main Data Kunjungan'!B201,'Counting Kontrak'!E:E)</f>
        <v>0</v>
      </c>
      <c r="D201" s="5">
        <f>SUMIF('Counting Kontrak'!$B:$B,'Main Data Kunjungan'!B201,'Counting Kontrak'!$C:$C)</f>
        <v>0</v>
      </c>
      <c r="E201" s="5">
        <f>SUMIF('Counting Kontrak'!$F:$F,B201,'Counting Kontrak'!$G:$G)</f>
        <v>0</v>
      </c>
      <c r="F201" s="5">
        <f t="shared" si="3"/>
        <v>0</v>
      </c>
    </row>
    <row r="202" spans="1:6" x14ac:dyDescent="0.3">
      <c r="A202" s="5">
        <v>201</v>
      </c>
      <c r="B202" s="8" t="s">
        <v>55</v>
      </c>
      <c r="C202" s="5">
        <f>SUMIF('Counting Free'!B:B,'Main Data Kunjungan'!B202,'Counting Kontrak'!E:E)</f>
        <v>0</v>
      </c>
      <c r="D202" s="5">
        <f>SUMIF('Counting Kontrak'!$B:$B,'Main Data Kunjungan'!B202,'Counting Kontrak'!$C:$C)</f>
        <v>0</v>
      </c>
      <c r="E202" s="5">
        <f>SUMIF('Counting Kontrak'!$F:$F,B202,'Counting Kontrak'!$G:$G)</f>
        <v>0</v>
      </c>
      <c r="F202" s="5">
        <f t="shared" si="3"/>
        <v>0</v>
      </c>
    </row>
    <row r="203" spans="1:6" x14ac:dyDescent="0.3">
      <c r="A203" s="5">
        <v>202</v>
      </c>
      <c r="B203" s="8" t="s">
        <v>173</v>
      </c>
      <c r="C203" s="5">
        <f>SUMIF('Counting Free'!B:B,'Main Data Kunjungan'!B203,'Counting Kontrak'!E:E)</f>
        <v>0</v>
      </c>
      <c r="D203" s="5">
        <f>SUMIF('Counting Kontrak'!$B:$B,'Main Data Kunjungan'!B203,'Counting Kontrak'!$C:$C)</f>
        <v>0</v>
      </c>
      <c r="E203" s="5">
        <f>SUMIF('Counting Kontrak'!$F:$F,B203,'Counting Kontrak'!$G:$G)</f>
        <v>0</v>
      </c>
      <c r="F203" s="5">
        <f t="shared" si="3"/>
        <v>0</v>
      </c>
    </row>
    <row r="204" spans="1:6" x14ac:dyDescent="0.3">
      <c r="A204" s="5">
        <v>203</v>
      </c>
      <c r="B204" s="8" t="s">
        <v>204</v>
      </c>
      <c r="C204" s="5">
        <f>SUMIF('Counting Free'!B:B,'Main Data Kunjungan'!B204,'Counting Kontrak'!E:E)</f>
        <v>0</v>
      </c>
      <c r="D204" s="5">
        <f>SUMIF('Counting Kontrak'!$B:$B,'Main Data Kunjungan'!B204,'Counting Kontrak'!$C:$C)</f>
        <v>0</v>
      </c>
      <c r="E204" s="5">
        <f>SUMIF('Counting Kontrak'!$F:$F,B204,'Counting Kontrak'!$G:$G)</f>
        <v>0</v>
      </c>
      <c r="F204" s="5">
        <f t="shared" si="3"/>
        <v>0</v>
      </c>
    </row>
    <row r="205" spans="1:6" x14ac:dyDescent="0.3">
      <c r="A205" s="5">
        <v>204</v>
      </c>
      <c r="B205" s="8" t="s">
        <v>46</v>
      </c>
      <c r="C205" s="5">
        <f>SUMIF('Counting Free'!B:B,'Main Data Kunjungan'!B205,'Counting Kontrak'!E:E)</f>
        <v>0</v>
      </c>
      <c r="D205" s="5">
        <f>SUMIF('Counting Kontrak'!$B:$B,'Main Data Kunjungan'!B205,'Counting Kontrak'!$C:$C)</f>
        <v>0</v>
      </c>
      <c r="E205" s="5">
        <f>SUMIF('Counting Kontrak'!$F:$F,B205,'Counting Kontrak'!$G:$G)</f>
        <v>0</v>
      </c>
      <c r="F205" s="5">
        <f t="shared" si="3"/>
        <v>0</v>
      </c>
    </row>
    <row r="206" spans="1:6" x14ac:dyDescent="0.3">
      <c r="A206" s="5">
        <v>205</v>
      </c>
      <c r="B206" s="8" t="s">
        <v>183</v>
      </c>
      <c r="C206" s="5">
        <f>SUMIF('Counting Free'!B:B,'Main Data Kunjungan'!B206,'Counting Kontrak'!E:E)</f>
        <v>0</v>
      </c>
      <c r="D206" s="5">
        <f>SUMIF('Counting Kontrak'!$B:$B,'Main Data Kunjungan'!B206,'Counting Kontrak'!$C:$C)</f>
        <v>0</v>
      </c>
      <c r="E206" s="5">
        <f>SUMIF('Counting Kontrak'!$F:$F,B206,'Counting Kontrak'!$G:$G)</f>
        <v>0</v>
      </c>
      <c r="F206" s="5">
        <f t="shared" si="3"/>
        <v>0</v>
      </c>
    </row>
    <row r="207" spans="1:6" x14ac:dyDescent="0.3">
      <c r="A207" s="5">
        <v>206</v>
      </c>
      <c r="B207" s="8" t="s">
        <v>205</v>
      </c>
      <c r="C207" s="5">
        <f>SUMIF('Counting Free'!B:B,'Main Data Kunjungan'!B207,'Counting Kontrak'!E:E)</f>
        <v>0</v>
      </c>
      <c r="D207" s="5">
        <f>SUMIF('Counting Kontrak'!$B:$B,'Main Data Kunjungan'!B207,'Counting Kontrak'!$C:$C)</f>
        <v>0</v>
      </c>
      <c r="E207" s="5">
        <f>SUMIF('Counting Kontrak'!$F:$F,B207,'Counting Kontrak'!$G:$G)</f>
        <v>0</v>
      </c>
      <c r="F207" s="5">
        <f t="shared" si="3"/>
        <v>0</v>
      </c>
    </row>
    <row r="208" spans="1:6" x14ac:dyDescent="0.3">
      <c r="A208" s="5">
        <v>207</v>
      </c>
      <c r="B208" s="8" t="s">
        <v>206</v>
      </c>
      <c r="C208" s="5">
        <f>SUMIF('Counting Free'!B:B,'Main Data Kunjungan'!B208,'Counting Kontrak'!E:E)</f>
        <v>0</v>
      </c>
      <c r="D208" s="5">
        <f>SUMIF('Counting Kontrak'!$B:$B,'Main Data Kunjungan'!B208,'Counting Kontrak'!$C:$C)</f>
        <v>0</v>
      </c>
      <c r="E208" s="5">
        <f>SUMIF('Counting Kontrak'!$F:$F,B208,'Counting Kontrak'!$G:$G)</f>
        <v>0</v>
      </c>
      <c r="F208" s="5">
        <f t="shared" si="3"/>
        <v>0</v>
      </c>
    </row>
    <row r="209" spans="1:6" x14ac:dyDescent="0.3">
      <c r="A209" s="5">
        <v>208</v>
      </c>
      <c r="B209" s="8" t="s">
        <v>198</v>
      </c>
      <c r="C209" s="5">
        <f>SUMIF('Counting Free'!B:B,'Main Data Kunjungan'!B209,'Counting Kontrak'!E:E)</f>
        <v>0</v>
      </c>
      <c r="D209" s="5">
        <f>SUMIF('Counting Kontrak'!$B:$B,'Main Data Kunjungan'!B209,'Counting Kontrak'!$C:$C)</f>
        <v>0</v>
      </c>
      <c r="E209" s="5">
        <f>SUMIF('Counting Kontrak'!$F:$F,B209,'Counting Kontrak'!$G:$G)</f>
        <v>0</v>
      </c>
      <c r="F209" s="5">
        <f t="shared" si="3"/>
        <v>0</v>
      </c>
    </row>
    <row r="210" spans="1:6" x14ac:dyDescent="0.3">
      <c r="A210" s="5">
        <v>209</v>
      </c>
      <c r="B210" s="8" t="s">
        <v>201</v>
      </c>
      <c r="C210" s="5">
        <f>SUMIF('Counting Free'!B:B,'Main Data Kunjungan'!B210,'Counting Kontrak'!E:E)</f>
        <v>5</v>
      </c>
      <c r="D210" s="5">
        <f>SUMIF('Counting Kontrak'!$B:$B,'Main Data Kunjungan'!B210,'Counting Kontrak'!$C:$C)</f>
        <v>7</v>
      </c>
      <c r="E210" s="5">
        <f>SUMIF('Counting Kontrak'!$F:$F,B210,'Counting Kontrak'!$G:$G)</f>
        <v>2</v>
      </c>
      <c r="F210" s="5">
        <f t="shared" si="3"/>
        <v>10</v>
      </c>
    </row>
    <row r="211" spans="1:6" x14ac:dyDescent="0.3">
      <c r="A211" s="5">
        <v>210</v>
      </c>
      <c r="B211" s="8" t="s">
        <v>171</v>
      </c>
      <c r="C211" s="5">
        <f>SUMIF('Counting Free'!B:B,'Main Data Kunjungan'!B211,'Counting Kontrak'!E:E)</f>
        <v>0</v>
      </c>
      <c r="D211" s="5">
        <f>SUMIF('Counting Kontrak'!$B:$B,'Main Data Kunjungan'!B211,'Counting Kontrak'!$C:$C)</f>
        <v>0</v>
      </c>
      <c r="E211" s="5">
        <f>SUMIF('Counting Kontrak'!$F:$F,B211,'Counting Kontrak'!$G:$G)</f>
        <v>0</v>
      </c>
      <c r="F211" s="5">
        <f t="shared" si="3"/>
        <v>0</v>
      </c>
    </row>
    <row r="212" spans="1:6" x14ac:dyDescent="0.3">
      <c r="A212" s="5">
        <v>211</v>
      </c>
      <c r="B212" s="8" t="s">
        <v>193</v>
      </c>
      <c r="C212" s="5">
        <f>SUMIF('Counting Free'!B:B,'Main Data Kunjungan'!B212,'Counting Kontrak'!E:E)</f>
        <v>0</v>
      </c>
      <c r="D212" s="5">
        <f>SUMIF('Counting Kontrak'!$B:$B,'Main Data Kunjungan'!B212,'Counting Kontrak'!$C:$C)</f>
        <v>0</v>
      </c>
      <c r="E212" s="5">
        <f>SUMIF('Counting Kontrak'!$F:$F,B212,'Counting Kontrak'!$G:$G)</f>
        <v>0</v>
      </c>
      <c r="F212" s="5">
        <f t="shared" si="3"/>
        <v>0</v>
      </c>
    </row>
    <row r="213" spans="1:6" x14ac:dyDescent="0.3">
      <c r="A213" s="5">
        <v>212</v>
      </c>
      <c r="B213" s="8" t="s">
        <v>192</v>
      </c>
      <c r="C213" s="5">
        <f>SUMIF('Counting Free'!B:B,'Main Data Kunjungan'!B213,'Counting Kontrak'!E:E)</f>
        <v>0</v>
      </c>
      <c r="D213" s="5">
        <f>SUMIF('Counting Kontrak'!$B:$B,'Main Data Kunjungan'!B213,'Counting Kontrak'!$C:$C)</f>
        <v>0</v>
      </c>
      <c r="E213" s="5">
        <f>SUMIF('Counting Kontrak'!$F:$F,B213,'Counting Kontrak'!$G:$G)</f>
        <v>0</v>
      </c>
      <c r="F213" s="5">
        <f t="shared" si="3"/>
        <v>0</v>
      </c>
    </row>
    <row r="214" spans="1:6" x14ac:dyDescent="0.3">
      <c r="A214" s="5">
        <v>213</v>
      </c>
      <c r="B214" s="8" t="s">
        <v>170</v>
      </c>
      <c r="C214" s="5">
        <f>SUMIF('Counting Free'!B:B,'Main Data Kunjungan'!B214,'Counting Kontrak'!E:E)</f>
        <v>0</v>
      </c>
      <c r="D214" s="5">
        <f>SUMIF('Counting Kontrak'!$B:$B,'Main Data Kunjungan'!B214,'Counting Kontrak'!$C:$C)</f>
        <v>0</v>
      </c>
      <c r="E214" s="5">
        <f>SUMIF('Counting Kontrak'!$F:$F,B214,'Counting Kontrak'!$G:$G)</f>
        <v>0</v>
      </c>
      <c r="F214" s="5">
        <f t="shared" si="3"/>
        <v>0</v>
      </c>
    </row>
    <row r="215" spans="1:6" x14ac:dyDescent="0.3">
      <c r="A215" s="5">
        <v>214</v>
      </c>
      <c r="B215" s="8" t="s">
        <v>429</v>
      </c>
      <c r="C215" s="5">
        <f>SUMIF('Counting Free'!B:B,'Main Data Kunjungan'!B215,'Counting Kontrak'!E:E)</f>
        <v>0</v>
      </c>
      <c r="D215" s="5">
        <f>SUMIF('Counting Kontrak'!$B:$B,'Main Data Kunjungan'!B215,'Counting Kontrak'!$C:$C)</f>
        <v>0</v>
      </c>
      <c r="E215" s="5">
        <f>SUMIF('Counting Kontrak'!$F:$F,B215,'Counting Kontrak'!$G:$G)</f>
        <v>0</v>
      </c>
      <c r="F215" s="5">
        <f t="shared" si="3"/>
        <v>0</v>
      </c>
    </row>
    <row r="216" spans="1:6" x14ac:dyDescent="0.3">
      <c r="A216" s="5">
        <v>215</v>
      </c>
      <c r="B216" s="8" t="s">
        <v>430</v>
      </c>
      <c r="C216" s="5">
        <f>SUMIF('Counting Free'!B:B,'Main Data Kunjungan'!B216,'Counting Kontrak'!E:E)</f>
        <v>0</v>
      </c>
      <c r="D216" s="5">
        <f>SUMIF('Counting Kontrak'!$B:$B,'Main Data Kunjungan'!B216,'Counting Kontrak'!$C:$C)</f>
        <v>0</v>
      </c>
      <c r="E216" s="5">
        <f>SUMIF('Counting Kontrak'!$F:$F,B216,'Counting Kontrak'!$G:$G)</f>
        <v>0</v>
      </c>
      <c r="F216" s="5">
        <f t="shared" si="3"/>
        <v>0</v>
      </c>
    </row>
    <row r="217" spans="1:6" x14ac:dyDescent="0.3">
      <c r="A217" s="5">
        <v>216</v>
      </c>
      <c r="B217" s="8" t="s">
        <v>431</v>
      </c>
      <c r="C217" s="5">
        <f>SUMIF('Counting Free'!B:B,'Main Data Kunjungan'!B217,'Counting Kontrak'!E:E)</f>
        <v>0</v>
      </c>
      <c r="D217" s="5">
        <f>SUMIF('Counting Kontrak'!$B:$B,'Main Data Kunjungan'!B217,'Counting Kontrak'!$C:$C)</f>
        <v>0</v>
      </c>
      <c r="E217" s="5">
        <f>SUMIF('Counting Kontrak'!$F:$F,B217,'Counting Kontrak'!$G:$G)</f>
        <v>0</v>
      </c>
      <c r="F217" s="5">
        <f t="shared" si="3"/>
        <v>0</v>
      </c>
    </row>
    <row r="218" spans="1:6" x14ac:dyDescent="0.3">
      <c r="A218" s="5">
        <v>217</v>
      </c>
      <c r="B218" s="8" t="s">
        <v>432</v>
      </c>
      <c r="C218" s="5">
        <f>SUMIF('Counting Free'!B:B,'Main Data Kunjungan'!B218,'Counting Kontrak'!E:E)</f>
        <v>0</v>
      </c>
      <c r="D218" s="5">
        <f>SUMIF('Counting Kontrak'!$B:$B,'Main Data Kunjungan'!B218,'Counting Kontrak'!$C:$C)</f>
        <v>0</v>
      </c>
      <c r="E218" s="5">
        <f>SUMIF('Counting Kontrak'!$F:$F,B218,'Counting Kontrak'!$G:$G)</f>
        <v>0</v>
      </c>
      <c r="F218" s="5">
        <f t="shared" si="3"/>
        <v>0</v>
      </c>
    </row>
    <row r="219" spans="1:6" x14ac:dyDescent="0.3">
      <c r="A219" s="5">
        <v>218</v>
      </c>
      <c r="B219" s="8" t="s">
        <v>433</v>
      </c>
      <c r="C219" s="5">
        <f>SUMIF('Counting Free'!B:B,'Main Data Kunjungan'!B219,'Counting Kontrak'!E:E)</f>
        <v>0</v>
      </c>
      <c r="D219" s="5">
        <f>SUMIF('Counting Kontrak'!$B:$B,'Main Data Kunjungan'!B219,'Counting Kontrak'!$C:$C)</f>
        <v>0</v>
      </c>
      <c r="E219" s="5">
        <f>SUMIF('Counting Kontrak'!$F:$F,B219,'Counting Kontrak'!$G:$G)</f>
        <v>0</v>
      </c>
      <c r="F219" s="5">
        <f t="shared" si="3"/>
        <v>0</v>
      </c>
    </row>
    <row r="220" spans="1:6" x14ac:dyDescent="0.3">
      <c r="A220" s="5">
        <v>219</v>
      </c>
      <c r="B220" s="8" t="s">
        <v>434</v>
      </c>
      <c r="C220" s="5">
        <f>SUMIF('Counting Free'!B:B,'Main Data Kunjungan'!B220,'Counting Kontrak'!E:E)</f>
        <v>0</v>
      </c>
      <c r="D220" s="5">
        <f>SUMIF('Counting Kontrak'!$B:$B,'Main Data Kunjungan'!B220,'Counting Kontrak'!$C:$C)</f>
        <v>0</v>
      </c>
      <c r="E220" s="5">
        <f>SUMIF('Counting Kontrak'!$F:$F,B220,'Counting Kontrak'!$G:$G)</f>
        <v>0</v>
      </c>
      <c r="F220" s="5">
        <f t="shared" si="3"/>
        <v>0</v>
      </c>
    </row>
    <row r="221" spans="1:6" x14ac:dyDescent="0.3">
      <c r="A221" s="5">
        <v>220</v>
      </c>
      <c r="B221" s="8" t="s">
        <v>435</v>
      </c>
      <c r="C221" s="5">
        <f>SUMIF('Counting Free'!B:B,'Main Data Kunjungan'!B221,'Counting Kontrak'!E:E)</f>
        <v>0</v>
      </c>
      <c r="D221" s="5">
        <f>SUMIF('Counting Kontrak'!$B:$B,'Main Data Kunjungan'!B221,'Counting Kontrak'!$C:$C)</f>
        <v>0</v>
      </c>
      <c r="E221" s="5">
        <f>SUMIF('Counting Kontrak'!$F:$F,B221,'Counting Kontrak'!$G:$G)</f>
        <v>0</v>
      </c>
      <c r="F221" s="5">
        <f t="shared" si="3"/>
        <v>0</v>
      </c>
    </row>
    <row r="222" spans="1:6" x14ac:dyDescent="0.3">
      <c r="A222" s="5">
        <v>221</v>
      </c>
      <c r="B222" s="8" t="s">
        <v>436</v>
      </c>
      <c r="C222" s="5">
        <f>SUMIF('Counting Free'!B:B,'Main Data Kunjungan'!B222,'Counting Kontrak'!E:E)</f>
        <v>0</v>
      </c>
      <c r="D222" s="5">
        <f>SUMIF('Counting Kontrak'!$B:$B,'Main Data Kunjungan'!B222,'Counting Kontrak'!$C:$C)</f>
        <v>0</v>
      </c>
      <c r="E222" s="5">
        <f>SUMIF('Counting Kontrak'!$F:$F,B222,'Counting Kontrak'!$G:$G)</f>
        <v>0</v>
      </c>
      <c r="F222" s="5">
        <f t="shared" si="3"/>
        <v>0</v>
      </c>
    </row>
    <row r="223" spans="1:6" x14ac:dyDescent="0.3">
      <c r="A223" s="5">
        <v>222</v>
      </c>
      <c r="B223" s="8" t="s">
        <v>437</v>
      </c>
      <c r="C223" s="5">
        <f>SUMIF('Counting Free'!B:B,'Main Data Kunjungan'!B223,'Counting Kontrak'!E:E)</f>
        <v>0</v>
      </c>
      <c r="D223" s="5">
        <f>SUMIF('Counting Kontrak'!$B:$B,'Main Data Kunjungan'!B223,'Counting Kontrak'!$C:$C)</f>
        <v>0</v>
      </c>
      <c r="E223" s="5">
        <f>SUMIF('Counting Kontrak'!$F:$F,B223,'Counting Kontrak'!$G:$G)</f>
        <v>0</v>
      </c>
      <c r="F223" s="5">
        <f t="shared" si="3"/>
        <v>0</v>
      </c>
    </row>
    <row r="224" spans="1:6" x14ac:dyDescent="0.3">
      <c r="A224" s="5">
        <v>223</v>
      </c>
      <c r="B224" s="8" t="s">
        <v>438</v>
      </c>
      <c r="C224" s="5">
        <f>SUMIF('Counting Free'!B:B,'Main Data Kunjungan'!B224,'Counting Kontrak'!E:E)</f>
        <v>0</v>
      </c>
      <c r="D224" s="5">
        <f>SUMIF('Counting Kontrak'!$B:$B,'Main Data Kunjungan'!B224,'Counting Kontrak'!$C:$C)</f>
        <v>0</v>
      </c>
      <c r="E224" s="5">
        <f>SUMIF('Counting Kontrak'!$F:$F,B224,'Counting Kontrak'!$G:$G)</f>
        <v>0</v>
      </c>
      <c r="F224" s="5">
        <f t="shared" si="3"/>
        <v>0</v>
      </c>
    </row>
    <row r="225" spans="1:6" x14ac:dyDescent="0.3">
      <c r="A225" s="5">
        <v>224</v>
      </c>
      <c r="B225" s="8" t="s">
        <v>439</v>
      </c>
      <c r="C225" s="5">
        <f>SUMIF('Counting Free'!B:B,'Main Data Kunjungan'!B225,'Counting Kontrak'!E:E)</f>
        <v>0</v>
      </c>
      <c r="D225" s="5">
        <f>SUMIF('Counting Kontrak'!$B:$B,'Main Data Kunjungan'!B225,'Counting Kontrak'!$C:$C)</f>
        <v>0</v>
      </c>
      <c r="E225" s="5">
        <f>SUMIF('Counting Kontrak'!$F:$F,B225,'Counting Kontrak'!$G:$G)</f>
        <v>0</v>
      </c>
      <c r="F225" s="5">
        <f t="shared" si="3"/>
        <v>0</v>
      </c>
    </row>
    <row r="226" spans="1:6" x14ac:dyDescent="0.3">
      <c r="A226" s="5">
        <v>225</v>
      </c>
      <c r="B226" s="8" t="s">
        <v>440</v>
      </c>
      <c r="C226" s="5">
        <f>SUMIF('Counting Free'!B:B,'Main Data Kunjungan'!B226,'Counting Kontrak'!E:E)</f>
        <v>0</v>
      </c>
      <c r="D226" s="5">
        <f>SUMIF('Counting Kontrak'!$B:$B,'Main Data Kunjungan'!B226,'Counting Kontrak'!$C:$C)</f>
        <v>0</v>
      </c>
      <c r="E226" s="5">
        <f>SUMIF('Counting Kontrak'!$F:$F,B226,'Counting Kontrak'!$G:$G)</f>
        <v>0</v>
      </c>
      <c r="F226" s="5">
        <f t="shared" si="3"/>
        <v>0</v>
      </c>
    </row>
    <row r="227" spans="1:6" x14ac:dyDescent="0.3">
      <c r="A227" s="5">
        <v>226</v>
      </c>
      <c r="B227" s="8" t="s">
        <v>441</v>
      </c>
      <c r="C227" s="5">
        <f>SUMIF('Counting Free'!B:B,'Main Data Kunjungan'!B227,'Counting Kontrak'!E:E)</f>
        <v>0</v>
      </c>
      <c r="D227" s="5">
        <f>SUMIF('Counting Kontrak'!$B:$B,'Main Data Kunjungan'!B227,'Counting Kontrak'!$C:$C)</f>
        <v>0</v>
      </c>
      <c r="E227" s="5">
        <f>SUMIF('Counting Kontrak'!$F:$F,B227,'Counting Kontrak'!$G:$G)</f>
        <v>0</v>
      </c>
      <c r="F227" s="5">
        <f t="shared" si="3"/>
        <v>0</v>
      </c>
    </row>
    <row r="228" spans="1:6" x14ac:dyDescent="0.3">
      <c r="A228" s="5">
        <v>227</v>
      </c>
      <c r="B228" s="8" t="s">
        <v>442</v>
      </c>
      <c r="C228" s="5">
        <f>SUMIF('Counting Free'!B:B,'Main Data Kunjungan'!B228,'Counting Kontrak'!E:E)</f>
        <v>0</v>
      </c>
      <c r="D228" s="5">
        <f>SUMIF('Counting Kontrak'!$B:$B,'Main Data Kunjungan'!B228,'Counting Kontrak'!$C:$C)</f>
        <v>0</v>
      </c>
      <c r="E228" s="5">
        <f>SUMIF('Counting Kontrak'!$F:$F,B228,'Counting Kontrak'!$G:$G)</f>
        <v>0</v>
      </c>
      <c r="F228" s="5">
        <f t="shared" si="3"/>
        <v>0</v>
      </c>
    </row>
    <row r="229" spans="1:6" x14ac:dyDescent="0.3">
      <c r="A229" s="5">
        <v>228</v>
      </c>
      <c r="B229" s="8" t="s">
        <v>443</v>
      </c>
      <c r="C229" s="5">
        <f>SUMIF('Counting Free'!B:B,'Main Data Kunjungan'!B229,'Counting Kontrak'!E:E)</f>
        <v>0</v>
      </c>
      <c r="D229" s="5">
        <f>SUMIF('Counting Kontrak'!$B:$B,'Main Data Kunjungan'!B229,'Counting Kontrak'!$C:$C)</f>
        <v>0</v>
      </c>
      <c r="E229" s="5">
        <f>SUMIF('Counting Kontrak'!$F:$F,B229,'Counting Kontrak'!$G:$G)</f>
        <v>0</v>
      </c>
      <c r="F229" s="5">
        <f t="shared" si="3"/>
        <v>0</v>
      </c>
    </row>
    <row r="230" spans="1:6" x14ac:dyDescent="0.3">
      <c r="A230" s="5">
        <v>229</v>
      </c>
      <c r="B230" s="8" t="s">
        <v>444</v>
      </c>
      <c r="C230" s="5">
        <f>SUMIF('Counting Free'!B:B,'Main Data Kunjungan'!B230,'Counting Kontrak'!E:E)</f>
        <v>0</v>
      </c>
      <c r="D230" s="5">
        <f>SUMIF('Counting Kontrak'!$B:$B,'Main Data Kunjungan'!B230,'Counting Kontrak'!$C:$C)</f>
        <v>0</v>
      </c>
      <c r="E230" s="5">
        <f>SUMIF('Counting Kontrak'!$F:$F,B230,'Counting Kontrak'!$G:$G)</f>
        <v>0</v>
      </c>
      <c r="F230" s="5">
        <f t="shared" si="3"/>
        <v>0</v>
      </c>
    </row>
    <row r="231" spans="1:6" x14ac:dyDescent="0.3">
      <c r="A231" s="5">
        <v>230</v>
      </c>
      <c r="B231" s="8" t="s">
        <v>445</v>
      </c>
      <c r="C231" s="5">
        <f>SUMIF('Counting Free'!B:B,'Main Data Kunjungan'!B231,'Counting Kontrak'!E:E)</f>
        <v>0</v>
      </c>
      <c r="D231" s="5">
        <f>SUMIF('Counting Kontrak'!$B:$B,'Main Data Kunjungan'!B231,'Counting Kontrak'!$C:$C)</f>
        <v>0</v>
      </c>
      <c r="E231" s="5">
        <f>SUMIF('Counting Kontrak'!$F:$F,B231,'Counting Kontrak'!$G:$G)</f>
        <v>0</v>
      </c>
      <c r="F231" s="5">
        <f t="shared" si="3"/>
        <v>0</v>
      </c>
    </row>
    <row r="232" spans="1:6" x14ac:dyDescent="0.3">
      <c r="A232" s="5">
        <v>231</v>
      </c>
      <c r="B232" s="8" t="s">
        <v>165</v>
      </c>
      <c r="C232" s="5">
        <f>SUMIF('Counting Free'!B:B,'Main Data Kunjungan'!B232,'Counting Kontrak'!E:E)</f>
        <v>0</v>
      </c>
      <c r="D232" s="5">
        <f>SUMIF('Counting Kontrak'!$B:$B,'Main Data Kunjungan'!B232,'Counting Kontrak'!$C:$C)</f>
        <v>0</v>
      </c>
      <c r="E232" s="5">
        <f>SUMIF('Counting Kontrak'!$F:$F,B232,'Counting Kontrak'!$G:$G)</f>
        <v>0</v>
      </c>
      <c r="F232" s="5">
        <f t="shared" si="3"/>
        <v>0</v>
      </c>
    </row>
    <row r="233" spans="1:6" x14ac:dyDescent="0.3">
      <c r="A233" s="5">
        <v>232</v>
      </c>
      <c r="B233" s="8" t="s">
        <v>446</v>
      </c>
      <c r="C233" s="5">
        <f>SUMIF('Counting Free'!B:B,'Main Data Kunjungan'!B233,'Counting Kontrak'!E:E)</f>
        <v>0</v>
      </c>
      <c r="D233" s="5">
        <f>SUMIF('Counting Kontrak'!$B:$B,'Main Data Kunjungan'!B233,'Counting Kontrak'!$C:$C)</f>
        <v>0</v>
      </c>
      <c r="E233" s="5">
        <f>SUMIF('Counting Kontrak'!$F:$F,B233,'Counting Kontrak'!$G:$G)</f>
        <v>0</v>
      </c>
      <c r="F233" s="5">
        <f t="shared" si="3"/>
        <v>0</v>
      </c>
    </row>
    <row r="234" spans="1:6" x14ac:dyDescent="0.3">
      <c r="A234" s="5">
        <v>233</v>
      </c>
      <c r="B234" s="8" t="s">
        <v>447</v>
      </c>
      <c r="C234" s="5">
        <f>SUMIF('Counting Free'!B:B,'Main Data Kunjungan'!B234,'Counting Kontrak'!E:E)</f>
        <v>0</v>
      </c>
      <c r="D234" s="5">
        <f>SUMIF('Counting Kontrak'!$B:$B,'Main Data Kunjungan'!B234,'Counting Kontrak'!$C:$C)</f>
        <v>0</v>
      </c>
      <c r="E234" s="5">
        <f>SUMIF('Counting Kontrak'!$F:$F,B234,'Counting Kontrak'!$G:$G)</f>
        <v>0</v>
      </c>
      <c r="F234" s="5">
        <f t="shared" si="3"/>
        <v>0</v>
      </c>
    </row>
    <row r="235" spans="1:6" x14ac:dyDescent="0.3">
      <c r="A235" s="5">
        <v>234</v>
      </c>
      <c r="B235" s="8" t="s">
        <v>448</v>
      </c>
      <c r="C235" s="5">
        <f>SUMIF('Counting Free'!B:B,'Main Data Kunjungan'!B235,'Counting Kontrak'!E:E)</f>
        <v>0</v>
      </c>
      <c r="D235" s="5">
        <f>SUMIF('Counting Kontrak'!$B:$B,'Main Data Kunjungan'!B235,'Counting Kontrak'!$C:$C)</f>
        <v>0</v>
      </c>
      <c r="E235" s="5">
        <f>SUMIF('Counting Kontrak'!$F:$F,B235,'Counting Kontrak'!$G:$G)</f>
        <v>0</v>
      </c>
      <c r="F235" s="5">
        <f t="shared" si="3"/>
        <v>0</v>
      </c>
    </row>
    <row r="236" spans="1:6" x14ac:dyDescent="0.3">
      <c r="A236" s="5">
        <v>235</v>
      </c>
      <c r="B236" s="8" t="s">
        <v>449</v>
      </c>
      <c r="C236" s="5">
        <f>SUMIF('Counting Free'!B:B,'Main Data Kunjungan'!B236,'Counting Kontrak'!E:E)</f>
        <v>0</v>
      </c>
      <c r="D236" s="5">
        <f>SUMIF('Counting Kontrak'!$B:$B,'Main Data Kunjungan'!B236,'Counting Kontrak'!$C:$C)</f>
        <v>0</v>
      </c>
      <c r="E236" s="5">
        <f>SUMIF('Counting Kontrak'!$F:$F,B236,'Counting Kontrak'!$G:$G)</f>
        <v>0</v>
      </c>
      <c r="F236" s="5">
        <f t="shared" si="3"/>
        <v>0</v>
      </c>
    </row>
    <row r="237" spans="1:6" x14ac:dyDescent="0.3">
      <c r="A237" s="5">
        <v>236</v>
      </c>
      <c r="B237" s="8" t="s">
        <v>450</v>
      </c>
      <c r="C237" s="5">
        <f>SUMIF('Counting Free'!B:B,'Main Data Kunjungan'!B237,'Counting Kontrak'!E:E)</f>
        <v>0</v>
      </c>
      <c r="D237" s="5">
        <f>SUMIF('Counting Kontrak'!$B:$B,'Main Data Kunjungan'!B237,'Counting Kontrak'!$C:$C)</f>
        <v>0</v>
      </c>
      <c r="E237" s="5">
        <f>SUMIF('Counting Kontrak'!$F:$F,B237,'Counting Kontrak'!$G:$G)</f>
        <v>0</v>
      </c>
      <c r="F237" s="5">
        <f t="shared" si="3"/>
        <v>0</v>
      </c>
    </row>
    <row r="238" spans="1:6" x14ac:dyDescent="0.3">
      <c r="A238" s="5">
        <v>237</v>
      </c>
      <c r="B238" s="8" t="s">
        <v>451</v>
      </c>
      <c r="C238" s="5">
        <f>SUMIF('Counting Free'!B:B,'Main Data Kunjungan'!B238,'Counting Kontrak'!E:E)</f>
        <v>0</v>
      </c>
      <c r="D238" s="5">
        <f>SUMIF('Counting Kontrak'!$B:$B,'Main Data Kunjungan'!B238,'Counting Kontrak'!$C:$C)</f>
        <v>0</v>
      </c>
      <c r="E238" s="5">
        <f>SUMIF('Counting Kontrak'!$F:$F,B238,'Counting Kontrak'!$G:$G)</f>
        <v>0</v>
      </c>
      <c r="F238" s="5">
        <f t="shared" si="3"/>
        <v>0</v>
      </c>
    </row>
    <row r="239" spans="1:6" x14ac:dyDescent="0.3">
      <c r="A239" s="5">
        <v>238</v>
      </c>
      <c r="B239" s="8" t="s">
        <v>452</v>
      </c>
      <c r="C239" s="5">
        <f>SUMIF('Counting Free'!B:B,'Main Data Kunjungan'!B239,'Counting Kontrak'!E:E)</f>
        <v>0</v>
      </c>
      <c r="D239" s="5">
        <f>SUMIF('Counting Kontrak'!$B:$B,'Main Data Kunjungan'!B239,'Counting Kontrak'!$C:$C)</f>
        <v>0</v>
      </c>
      <c r="E239" s="5">
        <f>SUMIF('Counting Kontrak'!$F:$F,B239,'Counting Kontrak'!$G:$G)</f>
        <v>0</v>
      </c>
      <c r="F239" s="5">
        <f t="shared" si="3"/>
        <v>0</v>
      </c>
    </row>
    <row r="240" spans="1:6" x14ac:dyDescent="0.3">
      <c r="A240" s="5">
        <v>239</v>
      </c>
      <c r="B240" s="8" t="s">
        <v>453</v>
      </c>
      <c r="C240" s="5">
        <f>SUMIF('Counting Free'!B:B,'Main Data Kunjungan'!B240,'Counting Kontrak'!E:E)</f>
        <v>0</v>
      </c>
      <c r="D240" s="5">
        <f>SUMIF('Counting Kontrak'!$B:$B,'Main Data Kunjungan'!B240,'Counting Kontrak'!$C:$C)</f>
        <v>0</v>
      </c>
      <c r="E240" s="5">
        <f>SUMIF('Counting Kontrak'!$F:$F,B240,'Counting Kontrak'!$G:$G)</f>
        <v>0</v>
      </c>
      <c r="F240" s="5">
        <f t="shared" si="3"/>
        <v>0</v>
      </c>
    </row>
    <row r="241" spans="1:6" x14ac:dyDescent="0.3">
      <c r="A241" s="5">
        <v>240</v>
      </c>
      <c r="B241" s="8" t="s">
        <v>454</v>
      </c>
      <c r="C241" s="5">
        <f>SUMIF('Counting Free'!B:B,'Main Data Kunjungan'!B241,'Counting Kontrak'!E:E)</f>
        <v>0</v>
      </c>
      <c r="D241" s="5">
        <f>SUMIF('Counting Kontrak'!$B:$B,'Main Data Kunjungan'!B241,'Counting Kontrak'!$C:$C)</f>
        <v>0</v>
      </c>
      <c r="E241" s="5">
        <f>SUMIF('Counting Kontrak'!$F:$F,B241,'Counting Kontrak'!$G:$G)</f>
        <v>0</v>
      </c>
      <c r="F241" s="5">
        <f t="shared" si="3"/>
        <v>0</v>
      </c>
    </row>
    <row r="242" spans="1:6" x14ac:dyDescent="0.3">
      <c r="A242" s="5">
        <v>241</v>
      </c>
      <c r="B242" s="8" t="s">
        <v>455</v>
      </c>
      <c r="C242" s="5">
        <f>SUMIF('Counting Free'!B:B,'Main Data Kunjungan'!B242,'Counting Kontrak'!E:E)</f>
        <v>0</v>
      </c>
      <c r="D242" s="5">
        <f>SUMIF('Counting Kontrak'!$B:$B,'Main Data Kunjungan'!B242,'Counting Kontrak'!$C:$C)</f>
        <v>0</v>
      </c>
      <c r="E242" s="5">
        <f>SUMIF('Counting Kontrak'!$F:$F,B242,'Counting Kontrak'!$G:$G)</f>
        <v>0</v>
      </c>
      <c r="F242" s="5">
        <f t="shared" si="3"/>
        <v>0</v>
      </c>
    </row>
    <row r="243" spans="1:6" x14ac:dyDescent="0.3">
      <c r="A243" s="5">
        <v>242</v>
      </c>
      <c r="B243" s="8" t="s">
        <v>200</v>
      </c>
      <c r="C243" s="5">
        <f>SUMIF('Counting Free'!B:B,'Main Data Kunjungan'!B243,'Counting Kontrak'!E:E)</f>
        <v>0</v>
      </c>
      <c r="D243" s="5">
        <f>SUMIF('Counting Kontrak'!$B:$B,'Main Data Kunjungan'!B243,'Counting Kontrak'!$C:$C)</f>
        <v>0</v>
      </c>
      <c r="E243" s="5">
        <f>SUMIF('Counting Kontrak'!$F:$F,B243,'Counting Kontrak'!$G:$G)</f>
        <v>0</v>
      </c>
      <c r="F243" s="5">
        <f t="shared" si="3"/>
        <v>0</v>
      </c>
    </row>
    <row r="244" spans="1:6" x14ac:dyDescent="0.3">
      <c r="A244" s="5">
        <v>243</v>
      </c>
      <c r="B244" s="8" t="s">
        <v>456</v>
      </c>
      <c r="C244" s="5">
        <f>SUMIF('Counting Free'!B:B,'Main Data Kunjungan'!B244,'Counting Kontrak'!E:E)</f>
        <v>0</v>
      </c>
      <c r="D244" s="5">
        <f>SUMIF('Counting Kontrak'!$B:$B,'Main Data Kunjungan'!B244,'Counting Kontrak'!$C:$C)</f>
        <v>0</v>
      </c>
      <c r="E244" s="5">
        <f>SUMIF('Counting Kontrak'!$F:$F,B244,'Counting Kontrak'!$G:$G)</f>
        <v>0</v>
      </c>
      <c r="F244" s="5">
        <f t="shared" si="3"/>
        <v>0</v>
      </c>
    </row>
    <row r="245" spans="1:6" x14ac:dyDescent="0.3">
      <c r="A245" s="5">
        <v>244</v>
      </c>
      <c r="B245" s="8" t="s">
        <v>457</v>
      </c>
      <c r="C245" s="5">
        <f>SUMIF('Counting Free'!B:B,'Main Data Kunjungan'!B245,'Counting Kontrak'!E:E)</f>
        <v>0</v>
      </c>
      <c r="D245" s="5">
        <f>SUMIF('Counting Kontrak'!$B:$B,'Main Data Kunjungan'!B245,'Counting Kontrak'!$C:$C)</f>
        <v>0</v>
      </c>
      <c r="E245" s="5">
        <f>SUMIF('Counting Kontrak'!$F:$F,B245,'Counting Kontrak'!$G:$G)</f>
        <v>0</v>
      </c>
      <c r="F245" s="5">
        <f t="shared" si="3"/>
        <v>0</v>
      </c>
    </row>
    <row r="246" spans="1:6" x14ac:dyDescent="0.3">
      <c r="A246" s="5">
        <v>245</v>
      </c>
      <c r="B246" s="8" t="s">
        <v>458</v>
      </c>
      <c r="C246" s="5">
        <f>SUMIF('Counting Free'!B:B,'Main Data Kunjungan'!B246,'Counting Kontrak'!E:E)</f>
        <v>0</v>
      </c>
      <c r="D246" s="5">
        <f>SUMIF('Counting Kontrak'!$B:$B,'Main Data Kunjungan'!B246,'Counting Kontrak'!$C:$C)</f>
        <v>0</v>
      </c>
      <c r="E246" s="5">
        <f>SUMIF('Counting Kontrak'!$F:$F,B246,'Counting Kontrak'!$G:$G)</f>
        <v>0</v>
      </c>
      <c r="F246" s="5">
        <f t="shared" si="3"/>
        <v>0</v>
      </c>
    </row>
    <row r="247" spans="1:6" x14ac:dyDescent="0.3">
      <c r="A247" s="5">
        <v>246</v>
      </c>
      <c r="B247" s="8" t="s">
        <v>459</v>
      </c>
      <c r="C247" s="5">
        <f>SUMIF('Counting Free'!B:B,'Main Data Kunjungan'!B247,'Counting Kontrak'!E:E)</f>
        <v>0</v>
      </c>
      <c r="D247" s="5">
        <f>SUMIF('Counting Kontrak'!$B:$B,'Main Data Kunjungan'!B247,'Counting Kontrak'!$C:$C)</f>
        <v>0</v>
      </c>
      <c r="E247" s="5">
        <f>SUMIF('Counting Kontrak'!$F:$F,B247,'Counting Kontrak'!$G:$G)</f>
        <v>0</v>
      </c>
      <c r="F247" s="5">
        <f t="shared" si="3"/>
        <v>0</v>
      </c>
    </row>
    <row r="248" spans="1:6" x14ac:dyDescent="0.3">
      <c r="A248" s="5">
        <v>247</v>
      </c>
      <c r="B248" s="8" t="s">
        <v>460</v>
      </c>
      <c r="C248" s="5">
        <f>SUMIF('Counting Free'!B:B,'Main Data Kunjungan'!B248,'Counting Kontrak'!E:E)</f>
        <v>0</v>
      </c>
      <c r="D248" s="5">
        <f>SUMIF('Counting Kontrak'!$B:$B,'Main Data Kunjungan'!B248,'Counting Kontrak'!$C:$C)</f>
        <v>0</v>
      </c>
      <c r="E248" s="5">
        <f>SUMIF('Counting Kontrak'!$F:$F,B248,'Counting Kontrak'!$G:$G)</f>
        <v>0</v>
      </c>
      <c r="F248" s="5">
        <f t="shared" si="3"/>
        <v>0</v>
      </c>
    </row>
    <row r="249" spans="1:6" x14ac:dyDescent="0.3">
      <c r="A249" s="5">
        <v>248</v>
      </c>
      <c r="B249" s="8" t="s">
        <v>461</v>
      </c>
      <c r="C249" s="5">
        <f>SUMIF('Counting Free'!B:B,'Main Data Kunjungan'!B249,'Counting Kontrak'!E:E)</f>
        <v>0</v>
      </c>
      <c r="D249" s="5">
        <f>SUMIF('Counting Kontrak'!$B:$B,'Main Data Kunjungan'!B249,'Counting Kontrak'!$C:$C)</f>
        <v>0</v>
      </c>
      <c r="E249" s="5">
        <f>SUMIF('Counting Kontrak'!$F:$F,B249,'Counting Kontrak'!$G:$G)</f>
        <v>0</v>
      </c>
      <c r="F249" s="5">
        <f t="shared" si="3"/>
        <v>0</v>
      </c>
    </row>
    <row r="250" spans="1:6" x14ac:dyDescent="0.3">
      <c r="A250" s="5">
        <v>249</v>
      </c>
      <c r="B250" s="8" t="s">
        <v>462</v>
      </c>
      <c r="C250" s="5">
        <f>SUMIF('Counting Free'!B:B,'Main Data Kunjungan'!B250,'Counting Kontrak'!E:E)</f>
        <v>0</v>
      </c>
      <c r="D250" s="5">
        <f>SUMIF('Counting Kontrak'!$B:$B,'Main Data Kunjungan'!B250,'Counting Kontrak'!$C:$C)</f>
        <v>0</v>
      </c>
      <c r="E250" s="5">
        <f>SUMIF('Counting Kontrak'!$F:$F,B250,'Counting Kontrak'!$G:$G)</f>
        <v>0</v>
      </c>
      <c r="F250" s="5">
        <f t="shared" si="3"/>
        <v>0</v>
      </c>
    </row>
    <row r="251" spans="1:6" x14ac:dyDescent="0.3">
      <c r="A251" s="5">
        <v>250</v>
      </c>
      <c r="B251" s="8" t="s">
        <v>463</v>
      </c>
      <c r="C251" s="5">
        <f>SUMIF('Counting Free'!B:B,'Main Data Kunjungan'!B251,'Counting Kontrak'!E:E)</f>
        <v>0</v>
      </c>
      <c r="D251" s="5">
        <f>SUMIF('Counting Kontrak'!$B:$B,'Main Data Kunjungan'!B251,'Counting Kontrak'!$C:$C)</f>
        <v>0</v>
      </c>
      <c r="E251" s="5">
        <f>SUMIF('Counting Kontrak'!$F:$F,B251,'Counting Kontrak'!$G:$G)</f>
        <v>0</v>
      </c>
      <c r="F251" s="5">
        <f t="shared" si="3"/>
        <v>0</v>
      </c>
    </row>
    <row r="252" spans="1:6" x14ac:dyDescent="0.3">
      <c r="A252" s="5">
        <v>251</v>
      </c>
      <c r="B252" s="8" t="s">
        <v>464</v>
      </c>
      <c r="C252" s="5">
        <f>SUMIF('Counting Free'!B:B,'Main Data Kunjungan'!B252,'Counting Kontrak'!E:E)</f>
        <v>0</v>
      </c>
      <c r="D252" s="5">
        <f>SUMIF('Counting Kontrak'!$B:$B,'Main Data Kunjungan'!B252,'Counting Kontrak'!$C:$C)</f>
        <v>0</v>
      </c>
      <c r="E252" s="5">
        <f>SUMIF('Counting Kontrak'!$F:$F,B252,'Counting Kontrak'!$G:$G)</f>
        <v>0</v>
      </c>
      <c r="F252" s="5">
        <f t="shared" si="3"/>
        <v>0</v>
      </c>
    </row>
    <row r="253" spans="1:6" x14ac:dyDescent="0.3">
      <c r="A253" s="5">
        <v>252</v>
      </c>
      <c r="B253" s="8" t="s">
        <v>465</v>
      </c>
      <c r="C253" s="5">
        <f>SUMIF('Counting Free'!B:B,'Main Data Kunjungan'!B253,'Counting Kontrak'!E:E)</f>
        <v>0</v>
      </c>
      <c r="D253" s="5">
        <f>SUMIF('Counting Kontrak'!$B:$B,'Main Data Kunjungan'!B253,'Counting Kontrak'!$C:$C)</f>
        <v>0</v>
      </c>
      <c r="E253" s="5">
        <f>SUMIF('Counting Kontrak'!$F:$F,B253,'Counting Kontrak'!$G:$G)</f>
        <v>0</v>
      </c>
      <c r="F253" s="5">
        <f t="shared" si="3"/>
        <v>0</v>
      </c>
    </row>
    <row r="254" spans="1:6" x14ac:dyDescent="0.3">
      <c r="A254" s="5">
        <v>253</v>
      </c>
      <c r="B254" s="8" t="s">
        <v>466</v>
      </c>
      <c r="C254" s="5">
        <f>SUMIF('Counting Free'!B:B,'Main Data Kunjungan'!B254,'Counting Kontrak'!E:E)</f>
        <v>0</v>
      </c>
      <c r="D254" s="5">
        <f>SUMIF('Counting Kontrak'!$B:$B,'Main Data Kunjungan'!B254,'Counting Kontrak'!$C:$C)</f>
        <v>0</v>
      </c>
      <c r="E254" s="5">
        <f>SUMIF('Counting Kontrak'!$F:$F,B254,'Counting Kontrak'!$G:$G)</f>
        <v>0</v>
      </c>
      <c r="F254" s="5">
        <f t="shared" si="3"/>
        <v>0</v>
      </c>
    </row>
    <row r="255" spans="1:6" x14ac:dyDescent="0.3">
      <c r="A255" s="5">
        <v>254</v>
      </c>
      <c r="B255" s="8" t="s">
        <v>467</v>
      </c>
      <c r="C255" s="5">
        <f>SUMIF('Counting Free'!B:B,'Main Data Kunjungan'!B255,'Counting Kontrak'!E:E)</f>
        <v>0</v>
      </c>
      <c r="D255" s="5">
        <f>SUMIF('Counting Kontrak'!$B:$B,'Main Data Kunjungan'!B255,'Counting Kontrak'!$C:$C)</f>
        <v>0</v>
      </c>
      <c r="E255" s="5">
        <f>SUMIF('Counting Kontrak'!$F:$F,B255,'Counting Kontrak'!$G:$G)</f>
        <v>0</v>
      </c>
      <c r="F255" s="5">
        <f t="shared" si="3"/>
        <v>0</v>
      </c>
    </row>
    <row r="256" spans="1:6" x14ac:dyDescent="0.3">
      <c r="A256" s="5">
        <v>255</v>
      </c>
      <c r="B256" s="8" t="s">
        <v>468</v>
      </c>
      <c r="C256" s="5">
        <f>SUMIF('Counting Free'!B:B,'Main Data Kunjungan'!B256,'Counting Kontrak'!E:E)</f>
        <v>0</v>
      </c>
      <c r="D256" s="5">
        <f>SUMIF('Counting Kontrak'!$B:$B,'Main Data Kunjungan'!B256,'Counting Kontrak'!$C:$C)</f>
        <v>0</v>
      </c>
      <c r="E256" s="5">
        <f>SUMIF('Counting Kontrak'!$F:$F,B256,'Counting Kontrak'!$G:$G)</f>
        <v>0</v>
      </c>
      <c r="F256" s="5">
        <f t="shared" si="3"/>
        <v>0</v>
      </c>
    </row>
    <row r="257" spans="1:6" x14ac:dyDescent="0.3">
      <c r="A257" s="5">
        <v>256</v>
      </c>
      <c r="B257" s="8" t="s">
        <v>469</v>
      </c>
      <c r="C257" s="5">
        <f>SUMIF('Counting Free'!B:B,'Main Data Kunjungan'!B257,'Counting Kontrak'!E:E)</f>
        <v>0</v>
      </c>
      <c r="D257" s="5">
        <f>SUMIF('Counting Kontrak'!$B:$B,'Main Data Kunjungan'!B257,'Counting Kontrak'!$C:$C)</f>
        <v>0</v>
      </c>
      <c r="E257" s="5">
        <f>SUMIF('Counting Kontrak'!$F:$F,B257,'Counting Kontrak'!$G:$G)</f>
        <v>0</v>
      </c>
      <c r="F257" s="5">
        <f t="shared" si="3"/>
        <v>0</v>
      </c>
    </row>
    <row r="258" spans="1:6" x14ac:dyDescent="0.3">
      <c r="A258" s="5">
        <v>257</v>
      </c>
      <c r="B258" s="8" t="s">
        <v>470</v>
      </c>
      <c r="C258" s="5">
        <f>SUMIF('Counting Free'!B:B,'Main Data Kunjungan'!B258,'Counting Kontrak'!E:E)</f>
        <v>0</v>
      </c>
      <c r="D258" s="5">
        <f>SUMIF('Counting Kontrak'!$B:$B,'Main Data Kunjungan'!B258,'Counting Kontrak'!$C:$C)</f>
        <v>0</v>
      </c>
      <c r="E258" s="5">
        <f>SUMIF('Counting Kontrak'!$F:$F,B258,'Counting Kontrak'!$G:$G)</f>
        <v>0</v>
      </c>
      <c r="F258" s="5">
        <f t="shared" si="3"/>
        <v>0</v>
      </c>
    </row>
    <row r="259" spans="1:6" x14ac:dyDescent="0.3">
      <c r="A259" s="5">
        <v>258</v>
      </c>
      <c r="B259" s="8" t="s">
        <v>470</v>
      </c>
      <c r="C259" s="5">
        <f>SUMIF('Counting Free'!B:B,'Main Data Kunjungan'!B259,'Counting Kontrak'!E:E)</f>
        <v>0</v>
      </c>
      <c r="D259" s="5">
        <f>SUMIF('Counting Kontrak'!$B:$B,'Main Data Kunjungan'!B259,'Counting Kontrak'!$C:$C)</f>
        <v>0</v>
      </c>
      <c r="E259" s="5">
        <f>SUMIF('Counting Kontrak'!$F:$F,B259,'Counting Kontrak'!$G:$G)</f>
        <v>0</v>
      </c>
      <c r="F259" s="5">
        <f t="shared" ref="F259:F322" si="4">C259+D259-E259</f>
        <v>0</v>
      </c>
    </row>
    <row r="260" spans="1:6" x14ac:dyDescent="0.3">
      <c r="A260" s="5">
        <v>259</v>
      </c>
      <c r="B260" s="8" t="s">
        <v>471</v>
      </c>
      <c r="C260" s="5">
        <f>SUMIF('Counting Free'!B:B,'Main Data Kunjungan'!B260,'Counting Kontrak'!E:E)</f>
        <v>0</v>
      </c>
      <c r="D260" s="5">
        <f>SUMIF('Counting Kontrak'!$B:$B,'Main Data Kunjungan'!B260,'Counting Kontrak'!$C:$C)</f>
        <v>0</v>
      </c>
      <c r="E260" s="5">
        <f>SUMIF('Counting Kontrak'!$F:$F,B260,'Counting Kontrak'!$G:$G)</f>
        <v>0</v>
      </c>
      <c r="F260" s="5">
        <f t="shared" si="4"/>
        <v>0</v>
      </c>
    </row>
    <row r="261" spans="1:6" x14ac:dyDescent="0.3">
      <c r="A261" s="5">
        <v>260</v>
      </c>
      <c r="B261" s="8" t="s">
        <v>472</v>
      </c>
      <c r="C261" s="5">
        <f>SUMIF('Counting Free'!B:B,'Main Data Kunjungan'!B261,'Counting Kontrak'!E:E)</f>
        <v>0</v>
      </c>
      <c r="D261" s="5">
        <f>SUMIF('Counting Kontrak'!$B:$B,'Main Data Kunjungan'!B261,'Counting Kontrak'!$C:$C)</f>
        <v>0</v>
      </c>
      <c r="E261" s="5">
        <f>SUMIF('Counting Kontrak'!$F:$F,B261,'Counting Kontrak'!$G:$G)</f>
        <v>0</v>
      </c>
      <c r="F261" s="5">
        <f t="shared" si="4"/>
        <v>0</v>
      </c>
    </row>
    <row r="262" spans="1:6" x14ac:dyDescent="0.3">
      <c r="A262" s="5">
        <v>261</v>
      </c>
      <c r="B262" s="8" t="s">
        <v>473</v>
      </c>
      <c r="C262" s="5">
        <f>SUMIF('Counting Free'!B:B,'Main Data Kunjungan'!B262,'Counting Kontrak'!E:E)</f>
        <v>0</v>
      </c>
      <c r="D262" s="5">
        <f>SUMIF('Counting Kontrak'!$B:$B,'Main Data Kunjungan'!B262,'Counting Kontrak'!$C:$C)</f>
        <v>0</v>
      </c>
      <c r="E262" s="5">
        <f>SUMIF('Counting Kontrak'!$F:$F,B262,'Counting Kontrak'!$G:$G)</f>
        <v>0</v>
      </c>
      <c r="F262" s="5">
        <f t="shared" si="4"/>
        <v>0</v>
      </c>
    </row>
    <row r="263" spans="1:6" x14ac:dyDescent="0.3">
      <c r="A263" s="5">
        <v>262</v>
      </c>
      <c r="B263" s="8" t="s">
        <v>474</v>
      </c>
      <c r="C263" s="5">
        <f>SUMIF('Counting Free'!B:B,'Main Data Kunjungan'!B263,'Counting Kontrak'!E:E)</f>
        <v>0</v>
      </c>
      <c r="D263" s="5">
        <f>SUMIF('Counting Kontrak'!$B:$B,'Main Data Kunjungan'!B263,'Counting Kontrak'!$C:$C)</f>
        <v>0</v>
      </c>
      <c r="E263" s="5">
        <f>SUMIF('Counting Kontrak'!$F:$F,B263,'Counting Kontrak'!$G:$G)</f>
        <v>0</v>
      </c>
      <c r="F263" s="5">
        <f t="shared" si="4"/>
        <v>0</v>
      </c>
    </row>
    <row r="264" spans="1:6" x14ac:dyDescent="0.3">
      <c r="A264" s="5">
        <v>263</v>
      </c>
      <c r="B264" s="8" t="s">
        <v>475</v>
      </c>
      <c r="C264" s="5">
        <f>SUMIF('Counting Free'!B:B,'Main Data Kunjungan'!B264,'Counting Kontrak'!E:E)</f>
        <v>0</v>
      </c>
      <c r="D264" s="5">
        <f>SUMIF('Counting Kontrak'!$B:$B,'Main Data Kunjungan'!B264,'Counting Kontrak'!$C:$C)</f>
        <v>0</v>
      </c>
      <c r="E264" s="5">
        <f>SUMIF('Counting Kontrak'!$F:$F,B264,'Counting Kontrak'!$G:$G)</f>
        <v>0</v>
      </c>
      <c r="F264" s="5">
        <f t="shared" si="4"/>
        <v>0</v>
      </c>
    </row>
    <row r="265" spans="1:6" x14ac:dyDescent="0.3">
      <c r="A265" s="5">
        <v>264</v>
      </c>
      <c r="B265" s="8" t="s">
        <v>476</v>
      </c>
      <c r="C265" s="5">
        <f>SUMIF('Counting Free'!B:B,'Main Data Kunjungan'!B265,'Counting Kontrak'!E:E)</f>
        <v>0</v>
      </c>
      <c r="D265" s="5">
        <f>SUMIF('Counting Kontrak'!$B:$B,'Main Data Kunjungan'!B265,'Counting Kontrak'!$C:$C)</f>
        <v>0</v>
      </c>
      <c r="E265" s="5">
        <f>SUMIF('Counting Kontrak'!$F:$F,B265,'Counting Kontrak'!$G:$G)</f>
        <v>0</v>
      </c>
      <c r="F265" s="5">
        <f t="shared" si="4"/>
        <v>0</v>
      </c>
    </row>
    <row r="266" spans="1:6" x14ac:dyDescent="0.3">
      <c r="A266" s="5">
        <v>265</v>
      </c>
      <c r="B266" s="8" t="s">
        <v>477</v>
      </c>
      <c r="C266" s="5">
        <f>SUMIF('Counting Free'!B:B,'Main Data Kunjungan'!B266,'Counting Kontrak'!E:E)</f>
        <v>0</v>
      </c>
      <c r="D266" s="5">
        <f>SUMIF('Counting Kontrak'!$B:$B,'Main Data Kunjungan'!B266,'Counting Kontrak'!$C:$C)</f>
        <v>0</v>
      </c>
      <c r="E266" s="5">
        <f>SUMIF('Counting Kontrak'!$F:$F,B266,'Counting Kontrak'!$G:$G)</f>
        <v>0</v>
      </c>
      <c r="F266" s="5">
        <f t="shared" si="4"/>
        <v>0</v>
      </c>
    </row>
    <row r="267" spans="1:6" x14ac:dyDescent="0.3">
      <c r="A267" s="5">
        <v>266</v>
      </c>
      <c r="B267" s="8" t="s">
        <v>478</v>
      </c>
      <c r="C267" s="5">
        <f>SUMIF('Counting Free'!B:B,'Main Data Kunjungan'!B267,'Counting Kontrak'!E:E)</f>
        <v>0</v>
      </c>
      <c r="D267" s="5">
        <f>SUMIF('Counting Kontrak'!$B:$B,'Main Data Kunjungan'!B267,'Counting Kontrak'!$C:$C)</f>
        <v>0</v>
      </c>
      <c r="E267" s="5">
        <f>SUMIF('Counting Kontrak'!$F:$F,B267,'Counting Kontrak'!$G:$G)</f>
        <v>0</v>
      </c>
      <c r="F267" s="5">
        <f t="shared" si="4"/>
        <v>0</v>
      </c>
    </row>
    <row r="268" spans="1:6" x14ac:dyDescent="0.3">
      <c r="A268" s="5">
        <v>267</v>
      </c>
      <c r="B268" s="8" t="s">
        <v>479</v>
      </c>
      <c r="C268" s="5">
        <f>SUMIF('Counting Free'!B:B,'Main Data Kunjungan'!B268,'Counting Kontrak'!E:E)</f>
        <v>0</v>
      </c>
      <c r="D268" s="5">
        <f>SUMIF('Counting Kontrak'!$B:$B,'Main Data Kunjungan'!B268,'Counting Kontrak'!$C:$C)</f>
        <v>0</v>
      </c>
      <c r="E268" s="5">
        <f>SUMIF('Counting Kontrak'!$F:$F,B268,'Counting Kontrak'!$G:$G)</f>
        <v>0</v>
      </c>
      <c r="F268" s="5">
        <f t="shared" si="4"/>
        <v>0</v>
      </c>
    </row>
    <row r="269" spans="1:6" x14ac:dyDescent="0.3">
      <c r="A269" s="5">
        <v>268</v>
      </c>
      <c r="B269" s="8" t="s">
        <v>480</v>
      </c>
      <c r="C269" s="5">
        <f>SUMIF('Counting Free'!B:B,'Main Data Kunjungan'!B269,'Counting Kontrak'!E:E)</f>
        <v>0</v>
      </c>
      <c r="D269" s="5">
        <f>SUMIF('Counting Kontrak'!$B:$B,'Main Data Kunjungan'!B269,'Counting Kontrak'!$C:$C)</f>
        <v>0</v>
      </c>
      <c r="E269" s="5">
        <f>SUMIF('Counting Kontrak'!$F:$F,B269,'Counting Kontrak'!$G:$G)</f>
        <v>0</v>
      </c>
      <c r="F269" s="5">
        <f t="shared" si="4"/>
        <v>0</v>
      </c>
    </row>
    <row r="270" spans="1:6" x14ac:dyDescent="0.3">
      <c r="A270" s="5">
        <v>269</v>
      </c>
      <c r="B270" s="8" t="s">
        <v>481</v>
      </c>
      <c r="C270" s="5">
        <f>SUMIF('Counting Free'!B:B,'Main Data Kunjungan'!B270,'Counting Kontrak'!E:E)</f>
        <v>0</v>
      </c>
      <c r="D270" s="5">
        <f>SUMIF('Counting Kontrak'!$B:$B,'Main Data Kunjungan'!B270,'Counting Kontrak'!$C:$C)</f>
        <v>0</v>
      </c>
      <c r="E270" s="5">
        <f>SUMIF('Counting Kontrak'!$F:$F,B270,'Counting Kontrak'!$G:$G)</f>
        <v>0</v>
      </c>
      <c r="F270" s="5">
        <f t="shared" si="4"/>
        <v>0</v>
      </c>
    </row>
    <row r="271" spans="1:6" x14ac:dyDescent="0.3">
      <c r="A271" s="5">
        <v>270</v>
      </c>
      <c r="B271" s="8" t="s">
        <v>482</v>
      </c>
      <c r="C271" s="5">
        <f>SUMIF('Counting Free'!B:B,'Main Data Kunjungan'!B271,'Counting Kontrak'!E:E)</f>
        <v>0</v>
      </c>
      <c r="D271" s="5">
        <f>SUMIF('Counting Kontrak'!$B:$B,'Main Data Kunjungan'!B271,'Counting Kontrak'!$C:$C)</f>
        <v>0</v>
      </c>
      <c r="E271" s="5">
        <f>SUMIF('Counting Kontrak'!$F:$F,B271,'Counting Kontrak'!$G:$G)</f>
        <v>0</v>
      </c>
      <c r="F271" s="5">
        <f t="shared" si="4"/>
        <v>0</v>
      </c>
    </row>
    <row r="272" spans="1:6" x14ac:dyDescent="0.3">
      <c r="A272" s="5">
        <v>271</v>
      </c>
      <c r="B272" s="8" t="s">
        <v>483</v>
      </c>
      <c r="C272" s="5">
        <f>SUMIF('Counting Free'!B:B,'Main Data Kunjungan'!B272,'Counting Kontrak'!E:E)</f>
        <v>0</v>
      </c>
      <c r="D272" s="5">
        <f>SUMIF('Counting Kontrak'!$B:$B,'Main Data Kunjungan'!B272,'Counting Kontrak'!$C:$C)</f>
        <v>0</v>
      </c>
      <c r="E272" s="5">
        <f>SUMIF('Counting Kontrak'!$F:$F,B272,'Counting Kontrak'!$G:$G)</f>
        <v>0</v>
      </c>
      <c r="F272" s="5">
        <f t="shared" si="4"/>
        <v>0</v>
      </c>
    </row>
    <row r="273" spans="1:6" x14ac:dyDescent="0.3">
      <c r="A273" s="5">
        <v>272</v>
      </c>
      <c r="B273" s="8" t="s">
        <v>484</v>
      </c>
      <c r="C273" s="5">
        <f>SUMIF('Counting Free'!B:B,'Main Data Kunjungan'!B273,'Counting Kontrak'!E:E)</f>
        <v>0</v>
      </c>
      <c r="D273" s="5">
        <f>SUMIF('Counting Kontrak'!$B:$B,'Main Data Kunjungan'!B273,'Counting Kontrak'!$C:$C)</f>
        <v>0</v>
      </c>
      <c r="E273" s="5">
        <f>SUMIF('Counting Kontrak'!$F:$F,B273,'Counting Kontrak'!$G:$G)</f>
        <v>0</v>
      </c>
      <c r="F273" s="5">
        <f t="shared" si="4"/>
        <v>0</v>
      </c>
    </row>
    <row r="274" spans="1:6" x14ac:dyDescent="0.3">
      <c r="A274" s="5">
        <v>273</v>
      </c>
      <c r="B274" s="8" t="s">
        <v>485</v>
      </c>
      <c r="C274" s="5">
        <f>SUMIF('Counting Free'!B:B,'Main Data Kunjungan'!B274,'Counting Kontrak'!E:E)</f>
        <v>0</v>
      </c>
      <c r="D274" s="5">
        <f>SUMIF('Counting Kontrak'!$B:$B,'Main Data Kunjungan'!B274,'Counting Kontrak'!$C:$C)</f>
        <v>0</v>
      </c>
      <c r="E274" s="5">
        <f>SUMIF('Counting Kontrak'!$F:$F,B274,'Counting Kontrak'!$G:$G)</f>
        <v>0</v>
      </c>
      <c r="F274" s="5">
        <f t="shared" si="4"/>
        <v>0</v>
      </c>
    </row>
    <row r="275" spans="1:6" x14ac:dyDescent="0.3">
      <c r="A275" s="5">
        <v>274</v>
      </c>
      <c r="B275" s="8" t="s">
        <v>486</v>
      </c>
      <c r="C275" s="5">
        <f>SUMIF('Counting Free'!B:B,'Main Data Kunjungan'!B275,'Counting Kontrak'!E:E)</f>
        <v>0</v>
      </c>
      <c r="D275" s="5">
        <f>SUMIF('Counting Kontrak'!$B:$B,'Main Data Kunjungan'!B275,'Counting Kontrak'!$C:$C)</f>
        <v>0</v>
      </c>
      <c r="E275" s="5">
        <f>SUMIF('Counting Kontrak'!$F:$F,B275,'Counting Kontrak'!$G:$G)</f>
        <v>0</v>
      </c>
      <c r="F275" s="5">
        <f t="shared" si="4"/>
        <v>0</v>
      </c>
    </row>
    <row r="276" spans="1:6" x14ac:dyDescent="0.3">
      <c r="A276" s="5">
        <v>275</v>
      </c>
      <c r="B276" s="8" t="s">
        <v>487</v>
      </c>
      <c r="C276" s="5">
        <f>SUMIF('Counting Free'!B:B,'Main Data Kunjungan'!B276,'Counting Kontrak'!E:E)</f>
        <v>0</v>
      </c>
      <c r="D276" s="5">
        <f>SUMIF('Counting Kontrak'!$B:$B,'Main Data Kunjungan'!B276,'Counting Kontrak'!$C:$C)</f>
        <v>0</v>
      </c>
      <c r="E276" s="5">
        <f>SUMIF('Counting Kontrak'!$F:$F,B276,'Counting Kontrak'!$G:$G)</f>
        <v>0</v>
      </c>
      <c r="F276" s="5">
        <f t="shared" si="4"/>
        <v>0</v>
      </c>
    </row>
    <row r="277" spans="1:6" x14ac:dyDescent="0.3">
      <c r="A277" s="5">
        <v>276</v>
      </c>
      <c r="B277" s="8" t="s">
        <v>488</v>
      </c>
      <c r="C277" s="5">
        <f>SUMIF('Counting Free'!B:B,'Main Data Kunjungan'!B277,'Counting Kontrak'!E:E)</f>
        <v>0</v>
      </c>
      <c r="D277" s="5">
        <f>SUMIF('Counting Kontrak'!$B:$B,'Main Data Kunjungan'!B277,'Counting Kontrak'!$C:$C)</f>
        <v>0</v>
      </c>
      <c r="E277" s="5">
        <f>SUMIF('Counting Kontrak'!$F:$F,B277,'Counting Kontrak'!$G:$G)</f>
        <v>0</v>
      </c>
      <c r="F277" s="5">
        <f t="shared" si="4"/>
        <v>0</v>
      </c>
    </row>
    <row r="278" spans="1:6" x14ac:dyDescent="0.3">
      <c r="A278" s="5">
        <v>277</v>
      </c>
      <c r="B278" s="8" t="s">
        <v>489</v>
      </c>
      <c r="C278" s="5">
        <f>SUMIF('Counting Free'!B:B,'Main Data Kunjungan'!B278,'Counting Kontrak'!E:E)</f>
        <v>0</v>
      </c>
      <c r="D278" s="5">
        <f>SUMIF('Counting Kontrak'!$B:$B,'Main Data Kunjungan'!B278,'Counting Kontrak'!$C:$C)</f>
        <v>0</v>
      </c>
      <c r="E278" s="5">
        <f>SUMIF('Counting Kontrak'!$F:$F,B278,'Counting Kontrak'!$G:$G)</f>
        <v>0</v>
      </c>
      <c r="F278" s="5">
        <f t="shared" si="4"/>
        <v>0</v>
      </c>
    </row>
    <row r="279" spans="1:6" x14ac:dyDescent="0.3">
      <c r="A279" s="5">
        <v>278</v>
      </c>
      <c r="B279" s="8" t="s">
        <v>490</v>
      </c>
      <c r="C279" s="5">
        <f>SUMIF('Counting Free'!B:B,'Main Data Kunjungan'!B279,'Counting Kontrak'!E:E)</f>
        <v>0</v>
      </c>
      <c r="D279" s="5">
        <f>SUMIF('Counting Kontrak'!$B:$B,'Main Data Kunjungan'!B279,'Counting Kontrak'!$C:$C)</f>
        <v>0</v>
      </c>
      <c r="E279" s="5">
        <f>SUMIF('Counting Kontrak'!$F:$F,B279,'Counting Kontrak'!$G:$G)</f>
        <v>0</v>
      </c>
      <c r="F279" s="5">
        <f t="shared" si="4"/>
        <v>0</v>
      </c>
    </row>
    <row r="280" spans="1:6" x14ac:dyDescent="0.3">
      <c r="A280" s="5">
        <v>279</v>
      </c>
      <c r="B280" s="8" t="s">
        <v>491</v>
      </c>
      <c r="C280" s="5">
        <f>SUMIF('Counting Free'!B:B,'Main Data Kunjungan'!B280,'Counting Kontrak'!E:E)</f>
        <v>0</v>
      </c>
      <c r="D280" s="5">
        <f>SUMIF('Counting Kontrak'!$B:$B,'Main Data Kunjungan'!B280,'Counting Kontrak'!$C:$C)</f>
        <v>0</v>
      </c>
      <c r="E280" s="5">
        <f>SUMIF('Counting Kontrak'!$F:$F,B280,'Counting Kontrak'!$G:$G)</f>
        <v>0</v>
      </c>
      <c r="F280" s="5">
        <f t="shared" si="4"/>
        <v>0</v>
      </c>
    </row>
    <row r="281" spans="1:6" x14ac:dyDescent="0.3">
      <c r="A281" s="5">
        <v>280</v>
      </c>
      <c r="B281" s="8" t="s">
        <v>492</v>
      </c>
      <c r="C281" s="5">
        <f>SUMIF('Counting Free'!B:B,'Main Data Kunjungan'!B281,'Counting Kontrak'!E:E)</f>
        <v>0</v>
      </c>
      <c r="D281" s="5">
        <f>SUMIF('Counting Kontrak'!$B:$B,'Main Data Kunjungan'!B281,'Counting Kontrak'!$C:$C)</f>
        <v>0</v>
      </c>
      <c r="E281" s="5">
        <f>SUMIF('Counting Kontrak'!$F:$F,B281,'Counting Kontrak'!$G:$G)</f>
        <v>0</v>
      </c>
      <c r="F281" s="5">
        <f t="shared" si="4"/>
        <v>0</v>
      </c>
    </row>
    <row r="282" spans="1:6" x14ac:dyDescent="0.3">
      <c r="A282" s="5">
        <v>281</v>
      </c>
      <c r="B282" s="8" t="s">
        <v>493</v>
      </c>
      <c r="C282" s="5">
        <f>SUMIF('Counting Free'!B:B,'Main Data Kunjungan'!B282,'Counting Kontrak'!E:E)</f>
        <v>0</v>
      </c>
      <c r="D282" s="5">
        <f>SUMIF('Counting Kontrak'!$B:$B,'Main Data Kunjungan'!B282,'Counting Kontrak'!$C:$C)</f>
        <v>0</v>
      </c>
      <c r="E282" s="5">
        <f>SUMIF('Counting Kontrak'!$F:$F,B282,'Counting Kontrak'!$G:$G)</f>
        <v>0</v>
      </c>
      <c r="F282" s="5">
        <f t="shared" si="4"/>
        <v>0</v>
      </c>
    </row>
    <row r="283" spans="1:6" x14ac:dyDescent="0.3">
      <c r="A283" s="5">
        <v>282</v>
      </c>
      <c r="B283" s="8" t="s">
        <v>494</v>
      </c>
      <c r="C283" s="5">
        <f>SUMIF('Counting Free'!B:B,'Main Data Kunjungan'!B283,'Counting Kontrak'!E:E)</f>
        <v>0</v>
      </c>
      <c r="D283" s="5">
        <f>SUMIF('Counting Kontrak'!$B:$B,'Main Data Kunjungan'!B283,'Counting Kontrak'!$C:$C)</f>
        <v>0</v>
      </c>
      <c r="E283" s="5">
        <f>SUMIF('Counting Kontrak'!$F:$F,B283,'Counting Kontrak'!$G:$G)</f>
        <v>0</v>
      </c>
      <c r="F283" s="5">
        <f t="shared" si="4"/>
        <v>0</v>
      </c>
    </row>
    <row r="284" spans="1:6" x14ac:dyDescent="0.3">
      <c r="A284" s="5">
        <v>283</v>
      </c>
      <c r="B284" s="8" t="s">
        <v>495</v>
      </c>
      <c r="C284" s="5">
        <f>SUMIF('Counting Free'!B:B,'Main Data Kunjungan'!B284,'Counting Kontrak'!E:E)</f>
        <v>0</v>
      </c>
      <c r="D284" s="5">
        <f>SUMIF('Counting Kontrak'!$B:$B,'Main Data Kunjungan'!B284,'Counting Kontrak'!$C:$C)</f>
        <v>0</v>
      </c>
      <c r="E284" s="5">
        <f>SUMIF('Counting Kontrak'!$F:$F,B284,'Counting Kontrak'!$G:$G)</f>
        <v>0</v>
      </c>
      <c r="F284" s="5">
        <f t="shared" si="4"/>
        <v>0</v>
      </c>
    </row>
    <row r="285" spans="1:6" x14ac:dyDescent="0.3">
      <c r="A285" s="5">
        <v>284</v>
      </c>
      <c r="B285" s="8" t="s">
        <v>496</v>
      </c>
      <c r="C285" s="5">
        <f>SUMIF('Counting Free'!B:B,'Main Data Kunjungan'!B285,'Counting Kontrak'!E:E)</f>
        <v>0</v>
      </c>
      <c r="D285" s="5">
        <f>SUMIF('Counting Kontrak'!$B:$B,'Main Data Kunjungan'!B285,'Counting Kontrak'!$C:$C)</f>
        <v>0</v>
      </c>
      <c r="E285" s="5">
        <f>SUMIF('Counting Kontrak'!$F:$F,B285,'Counting Kontrak'!$G:$G)</f>
        <v>0</v>
      </c>
      <c r="F285" s="5">
        <f t="shared" si="4"/>
        <v>0</v>
      </c>
    </row>
    <row r="286" spans="1:6" x14ac:dyDescent="0.3">
      <c r="A286" s="5">
        <v>285</v>
      </c>
      <c r="B286" s="8" t="s">
        <v>497</v>
      </c>
      <c r="C286" s="5">
        <f>SUMIF('Counting Free'!B:B,'Main Data Kunjungan'!B286,'Counting Kontrak'!E:E)</f>
        <v>0</v>
      </c>
      <c r="D286" s="5">
        <f>SUMIF('Counting Kontrak'!$B:$B,'Main Data Kunjungan'!B286,'Counting Kontrak'!$C:$C)</f>
        <v>0</v>
      </c>
      <c r="E286" s="5">
        <f>SUMIF('Counting Kontrak'!$F:$F,B286,'Counting Kontrak'!$G:$G)</f>
        <v>0</v>
      </c>
      <c r="F286" s="5">
        <f t="shared" si="4"/>
        <v>0</v>
      </c>
    </row>
    <row r="287" spans="1:6" x14ac:dyDescent="0.3">
      <c r="A287" s="5">
        <v>286</v>
      </c>
      <c r="B287" s="8" t="s">
        <v>498</v>
      </c>
      <c r="C287" s="5">
        <f>SUMIF('Counting Free'!B:B,'Main Data Kunjungan'!B287,'Counting Kontrak'!E:E)</f>
        <v>0</v>
      </c>
      <c r="D287" s="5">
        <f>SUMIF('Counting Kontrak'!$B:$B,'Main Data Kunjungan'!B287,'Counting Kontrak'!$C:$C)</f>
        <v>0</v>
      </c>
      <c r="E287" s="5">
        <f>SUMIF('Counting Kontrak'!$F:$F,B287,'Counting Kontrak'!$G:$G)</f>
        <v>0</v>
      </c>
      <c r="F287" s="5">
        <f t="shared" si="4"/>
        <v>0</v>
      </c>
    </row>
    <row r="288" spans="1:6" x14ac:dyDescent="0.3">
      <c r="A288" s="5">
        <v>287</v>
      </c>
      <c r="B288" s="8" t="s">
        <v>499</v>
      </c>
      <c r="C288" s="5">
        <f>SUMIF('Counting Free'!B:B,'Main Data Kunjungan'!B288,'Counting Kontrak'!E:E)</f>
        <v>0</v>
      </c>
      <c r="D288" s="5">
        <f>SUMIF('Counting Kontrak'!$B:$B,'Main Data Kunjungan'!B288,'Counting Kontrak'!$C:$C)</f>
        <v>0</v>
      </c>
      <c r="E288" s="5">
        <f>SUMIF('Counting Kontrak'!$F:$F,B288,'Counting Kontrak'!$G:$G)</f>
        <v>0</v>
      </c>
      <c r="F288" s="5">
        <f t="shared" si="4"/>
        <v>0</v>
      </c>
    </row>
    <row r="289" spans="1:6" x14ac:dyDescent="0.3">
      <c r="A289" s="5">
        <v>288</v>
      </c>
      <c r="B289" s="8" t="s">
        <v>500</v>
      </c>
      <c r="C289" s="5">
        <f>SUMIF('Counting Free'!B:B,'Main Data Kunjungan'!B289,'Counting Kontrak'!E:E)</f>
        <v>0</v>
      </c>
      <c r="D289" s="5">
        <f>SUMIF('Counting Kontrak'!$B:$B,'Main Data Kunjungan'!B289,'Counting Kontrak'!$C:$C)</f>
        <v>0</v>
      </c>
      <c r="E289" s="5">
        <f>SUMIF('Counting Kontrak'!$F:$F,B289,'Counting Kontrak'!$G:$G)</f>
        <v>0</v>
      </c>
      <c r="F289" s="5">
        <f t="shared" si="4"/>
        <v>0</v>
      </c>
    </row>
    <row r="290" spans="1:6" x14ac:dyDescent="0.3">
      <c r="A290" s="5">
        <v>289</v>
      </c>
      <c r="B290" s="8" t="s">
        <v>501</v>
      </c>
      <c r="C290" s="5">
        <f>SUMIF('Counting Free'!B:B,'Main Data Kunjungan'!B290,'Counting Kontrak'!E:E)</f>
        <v>0</v>
      </c>
      <c r="D290" s="5">
        <f>SUMIF('Counting Kontrak'!$B:$B,'Main Data Kunjungan'!B290,'Counting Kontrak'!$C:$C)</f>
        <v>0</v>
      </c>
      <c r="E290" s="5">
        <f>SUMIF('Counting Kontrak'!$F:$F,B290,'Counting Kontrak'!$G:$G)</f>
        <v>0</v>
      </c>
      <c r="F290" s="5">
        <f t="shared" si="4"/>
        <v>0</v>
      </c>
    </row>
    <row r="291" spans="1:6" x14ac:dyDescent="0.3">
      <c r="A291" s="5">
        <v>290</v>
      </c>
      <c r="B291" s="8" t="s">
        <v>502</v>
      </c>
      <c r="C291" s="5">
        <f>SUMIF('Counting Free'!B:B,'Main Data Kunjungan'!B291,'Counting Kontrak'!E:E)</f>
        <v>0</v>
      </c>
      <c r="D291" s="5">
        <f>SUMIF('Counting Kontrak'!$B:$B,'Main Data Kunjungan'!B291,'Counting Kontrak'!$C:$C)</f>
        <v>0</v>
      </c>
      <c r="E291" s="5">
        <f>SUMIF('Counting Kontrak'!$F:$F,B291,'Counting Kontrak'!$G:$G)</f>
        <v>0</v>
      </c>
      <c r="F291" s="5">
        <f t="shared" si="4"/>
        <v>0</v>
      </c>
    </row>
    <row r="292" spans="1:6" x14ac:dyDescent="0.3">
      <c r="A292" s="5">
        <v>291</v>
      </c>
      <c r="B292" s="8" t="s">
        <v>503</v>
      </c>
      <c r="C292" s="5">
        <f>SUMIF('Counting Free'!B:B,'Main Data Kunjungan'!B292,'Counting Kontrak'!E:E)</f>
        <v>0</v>
      </c>
      <c r="D292" s="5">
        <f>SUMIF('Counting Kontrak'!$B:$B,'Main Data Kunjungan'!B292,'Counting Kontrak'!$C:$C)</f>
        <v>0</v>
      </c>
      <c r="E292" s="5">
        <f>SUMIF('Counting Kontrak'!$F:$F,B292,'Counting Kontrak'!$G:$G)</f>
        <v>0</v>
      </c>
      <c r="F292" s="5">
        <f t="shared" si="4"/>
        <v>0</v>
      </c>
    </row>
    <row r="293" spans="1:6" x14ac:dyDescent="0.3">
      <c r="A293" s="5">
        <v>292</v>
      </c>
      <c r="B293" s="8" t="s">
        <v>504</v>
      </c>
      <c r="C293" s="5">
        <f>SUMIF('Counting Free'!B:B,'Main Data Kunjungan'!B293,'Counting Kontrak'!E:E)</f>
        <v>0</v>
      </c>
      <c r="D293" s="5">
        <f>SUMIF('Counting Kontrak'!$B:$B,'Main Data Kunjungan'!B293,'Counting Kontrak'!$C:$C)</f>
        <v>0</v>
      </c>
      <c r="E293" s="5">
        <f>SUMIF('Counting Kontrak'!$F:$F,B293,'Counting Kontrak'!$G:$G)</f>
        <v>0</v>
      </c>
      <c r="F293" s="5">
        <f t="shared" si="4"/>
        <v>0</v>
      </c>
    </row>
    <row r="294" spans="1:6" x14ac:dyDescent="0.3">
      <c r="A294" s="5">
        <v>293</v>
      </c>
      <c r="B294" s="8" t="s">
        <v>505</v>
      </c>
      <c r="C294" s="5">
        <f>SUMIF('Counting Free'!B:B,'Main Data Kunjungan'!B294,'Counting Kontrak'!E:E)</f>
        <v>0</v>
      </c>
      <c r="D294" s="5">
        <f>SUMIF('Counting Kontrak'!$B:$B,'Main Data Kunjungan'!B294,'Counting Kontrak'!$C:$C)</f>
        <v>0</v>
      </c>
      <c r="E294" s="5">
        <f>SUMIF('Counting Kontrak'!$F:$F,B294,'Counting Kontrak'!$G:$G)</f>
        <v>0</v>
      </c>
      <c r="F294" s="5">
        <f t="shared" si="4"/>
        <v>0</v>
      </c>
    </row>
    <row r="295" spans="1:6" x14ac:dyDescent="0.3">
      <c r="A295" s="5">
        <v>294</v>
      </c>
      <c r="B295" s="8" t="s">
        <v>506</v>
      </c>
      <c r="C295" s="5">
        <f>SUMIF('Counting Free'!B:B,'Main Data Kunjungan'!B295,'Counting Kontrak'!E:E)</f>
        <v>0</v>
      </c>
      <c r="D295" s="5">
        <f>SUMIF('Counting Kontrak'!$B:$B,'Main Data Kunjungan'!B295,'Counting Kontrak'!$C:$C)</f>
        <v>0</v>
      </c>
      <c r="E295" s="5">
        <f>SUMIF('Counting Kontrak'!$F:$F,B295,'Counting Kontrak'!$G:$G)</f>
        <v>0</v>
      </c>
      <c r="F295" s="5">
        <f t="shared" si="4"/>
        <v>0</v>
      </c>
    </row>
    <row r="296" spans="1:6" x14ac:dyDescent="0.3">
      <c r="A296" s="5">
        <v>295</v>
      </c>
      <c r="B296" s="8" t="s">
        <v>507</v>
      </c>
      <c r="C296" s="5">
        <f>SUMIF('Counting Free'!B:B,'Main Data Kunjungan'!B296,'Counting Kontrak'!E:E)</f>
        <v>0</v>
      </c>
      <c r="D296" s="5">
        <f>SUMIF('Counting Kontrak'!$B:$B,'Main Data Kunjungan'!B296,'Counting Kontrak'!$C:$C)</f>
        <v>0</v>
      </c>
      <c r="E296" s="5">
        <f>SUMIF('Counting Kontrak'!$F:$F,B296,'Counting Kontrak'!$G:$G)</f>
        <v>0</v>
      </c>
      <c r="F296" s="5">
        <f t="shared" si="4"/>
        <v>0</v>
      </c>
    </row>
    <row r="297" spans="1:6" x14ac:dyDescent="0.3">
      <c r="A297" s="5">
        <v>296</v>
      </c>
      <c r="B297" s="8" t="s">
        <v>508</v>
      </c>
      <c r="C297" s="5">
        <f>SUMIF('Counting Free'!B:B,'Main Data Kunjungan'!B297,'Counting Kontrak'!E:E)</f>
        <v>0</v>
      </c>
      <c r="D297" s="5">
        <f>SUMIF('Counting Kontrak'!$B:$B,'Main Data Kunjungan'!B297,'Counting Kontrak'!$C:$C)</f>
        <v>0</v>
      </c>
      <c r="E297" s="5">
        <f>SUMIF('Counting Kontrak'!$F:$F,B297,'Counting Kontrak'!$G:$G)</f>
        <v>0</v>
      </c>
      <c r="F297" s="5">
        <f t="shared" si="4"/>
        <v>0</v>
      </c>
    </row>
    <row r="298" spans="1:6" x14ac:dyDescent="0.3">
      <c r="A298" s="5">
        <v>297</v>
      </c>
      <c r="B298" s="8" t="s">
        <v>509</v>
      </c>
      <c r="C298" s="5">
        <f>SUMIF('Counting Free'!B:B,'Main Data Kunjungan'!B298,'Counting Kontrak'!E:E)</f>
        <v>0</v>
      </c>
      <c r="D298" s="5">
        <f>SUMIF('Counting Kontrak'!$B:$B,'Main Data Kunjungan'!B298,'Counting Kontrak'!$C:$C)</f>
        <v>0</v>
      </c>
      <c r="E298" s="5">
        <f>SUMIF('Counting Kontrak'!$F:$F,B298,'Counting Kontrak'!$G:$G)</f>
        <v>0</v>
      </c>
      <c r="F298" s="5">
        <f t="shared" si="4"/>
        <v>0</v>
      </c>
    </row>
    <row r="299" spans="1:6" x14ac:dyDescent="0.3">
      <c r="A299" s="5">
        <v>298</v>
      </c>
      <c r="B299" s="8" t="s">
        <v>510</v>
      </c>
      <c r="C299" s="5">
        <f>SUMIF('Counting Free'!B:B,'Main Data Kunjungan'!B299,'Counting Kontrak'!E:E)</f>
        <v>0</v>
      </c>
      <c r="D299" s="5">
        <f>SUMIF('Counting Kontrak'!$B:$B,'Main Data Kunjungan'!B299,'Counting Kontrak'!$C:$C)</f>
        <v>0</v>
      </c>
      <c r="E299" s="5">
        <f>SUMIF('Counting Kontrak'!$F:$F,B299,'Counting Kontrak'!$G:$G)</f>
        <v>0</v>
      </c>
      <c r="F299" s="5">
        <f t="shared" si="4"/>
        <v>0</v>
      </c>
    </row>
    <row r="300" spans="1:6" x14ac:dyDescent="0.3">
      <c r="A300" s="5">
        <v>299</v>
      </c>
      <c r="B300" s="8" t="s">
        <v>511</v>
      </c>
      <c r="C300" s="5">
        <f>SUMIF('Counting Free'!B:B,'Main Data Kunjungan'!B300,'Counting Kontrak'!E:E)</f>
        <v>0</v>
      </c>
      <c r="D300" s="5">
        <f>SUMIF('Counting Kontrak'!$B:$B,'Main Data Kunjungan'!B300,'Counting Kontrak'!$C:$C)</f>
        <v>0</v>
      </c>
      <c r="E300" s="5">
        <f>SUMIF('Counting Kontrak'!$F:$F,B300,'Counting Kontrak'!$G:$G)</f>
        <v>0</v>
      </c>
      <c r="F300" s="5">
        <f t="shared" si="4"/>
        <v>0</v>
      </c>
    </row>
    <row r="301" spans="1:6" x14ac:dyDescent="0.3">
      <c r="A301" s="5">
        <v>300</v>
      </c>
      <c r="B301" s="8" t="s">
        <v>512</v>
      </c>
      <c r="C301" s="5">
        <f>SUMIF('Counting Free'!B:B,'Main Data Kunjungan'!B301,'Counting Kontrak'!E:E)</f>
        <v>0</v>
      </c>
      <c r="D301" s="5">
        <f>SUMIF('Counting Kontrak'!$B:$B,'Main Data Kunjungan'!B301,'Counting Kontrak'!$C:$C)</f>
        <v>0</v>
      </c>
      <c r="E301" s="5">
        <f>SUMIF('Counting Kontrak'!$F:$F,B301,'Counting Kontrak'!$G:$G)</f>
        <v>0</v>
      </c>
      <c r="F301" s="5">
        <f t="shared" si="4"/>
        <v>0</v>
      </c>
    </row>
    <row r="302" spans="1:6" x14ac:dyDescent="0.3">
      <c r="A302" s="5">
        <v>301</v>
      </c>
      <c r="B302" s="8" t="s">
        <v>513</v>
      </c>
      <c r="C302" s="5">
        <f>SUMIF('Counting Free'!B:B,'Main Data Kunjungan'!B302,'Counting Kontrak'!E:E)</f>
        <v>0</v>
      </c>
      <c r="D302" s="5">
        <f>SUMIF('Counting Kontrak'!$B:$B,'Main Data Kunjungan'!B302,'Counting Kontrak'!$C:$C)</f>
        <v>0</v>
      </c>
      <c r="E302" s="5">
        <f>SUMIF('Counting Kontrak'!$F:$F,B302,'Counting Kontrak'!$G:$G)</f>
        <v>0</v>
      </c>
      <c r="F302" s="5">
        <f t="shared" si="4"/>
        <v>0</v>
      </c>
    </row>
    <row r="303" spans="1:6" x14ac:dyDescent="0.3">
      <c r="A303" s="5">
        <v>302</v>
      </c>
      <c r="B303" s="8" t="s">
        <v>514</v>
      </c>
      <c r="C303" s="5">
        <f>SUMIF('Counting Free'!B:B,'Main Data Kunjungan'!B303,'Counting Kontrak'!E:E)</f>
        <v>0</v>
      </c>
      <c r="D303" s="5">
        <f>SUMIF('Counting Kontrak'!$B:$B,'Main Data Kunjungan'!B303,'Counting Kontrak'!$C:$C)</f>
        <v>0</v>
      </c>
      <c r="E303" s="5">
        <f>SUMIF('Counting Kontrak'!$F:$F,B303,'Counting Kontrak'!$G:$G)</f>
        <v>0</v>
      </c>
      <c r="F303" s="5">
        <f t="shared" si="4"/>
        <v>0</v>
      </c>
    </row>
    <row r="304" spans="1:6" x14ac:dyDescent="0.3">
      <c r="A304" s="5">
        <v>303</v>
      </c>
      <c r="B304" s="8" t="s">
        <v>515</v>
      </c>
      <c r="C304" s="5">
        <f>SUMIF('Counting Free'!B:B,'Main Data Kunjungan'!B304,'Counting Kontrak'!E:E)</f>
        <v>0</v>
      </c>
      <c r="D304" s="5">
        <f>SUMIF('Counting Kontrak'!$B:$B,'Main Data Kunjungan'!B304,'Counting Kontrak'!$C:$C)</f>
        <v>0</v>
      </c>
      <c r="E304" s="5">
        <f>SUMIF('Counting Kontrak'!$F:$F,B304,'Counting Kontrak'!$G:$G)</f>
        <v>0</v>
      </c>
      <c r="F304" s="5">
        <f t="shared" si="4"/>
        <v>0</v>
      </c>
    </row>
    <row r="305" spans="1:6" x14ac:dyDescent="0.3">
      <c r="A305" s="5">
        <v>304</v>
      </c>
      <c r="B305" s="8" t="s">
        <v>516</v>
      </c>
      <c r="C305" s="5">
        <f>SUMIF('Counting Free'!B:B,'Main Data Kunjungan'!B305,'Counting Kontrak'!E:E)</f>
        <v>0</v>
      </c>
      <c r="D305" s="5">
        <f>SUMIF('Counting Kontrak'!$B:$B,'Main Data Kunjungan'!B305,'Counting Kontrak'!$C:$C)</f>
        <v>0</v>
      </c>
      <c r="E305" s="5">
        <f>SUMIF('Counting Kontrak'!$F:$F,B305,'Counting Kontrak'!$G:$G)</f>
        <v>0</v>
      </c>
      <c r="F305" s="5">
        <f t="shared" si="4"/>
        <v>0</v>
      </c>
    </row>
    <row r="306" spans="1:6" x14ac:dyDescent="0.3">
      <c r="A306" s="5">
        <v>305</v>
      </c>
      <c r="B306" s="8" t="s">
        <v>517</v>
      </c>
      <c r="C306" s="5">
        <f>SUMIF('Counting Free'!B:B,'Main Data Kunjungan'!B306,'Counting Kontrak'!E:E)</f>
        <v>0</v>
      </c>
      <c r="D306" s="5">
        <f>SUMIF('Counting Kontrak'!$B:$B,'Main Data Kunjungan'!B306,'Counting Kontrak'!$C:$C)</f>
        <v>0</v>
      </c>
      <c r="E306" s="5">
        <f>SUMIF('Counting Kontrak'!$F:$F,B306,'Counting Kontrak'!$G:$G)</f>
        <v>0</v>
      </c>
      <c r="F306" s="5">
        <f t="shared" si="4"/>
        <v>0</v>
      </c>
    </row>
    <row r="307" spans="1:6" x14ac:dyDescent="0.3">
      <c r="A307" s="5">
        <v>306</v>
      </c>
      <c r="B307" s="8" t="s">
        <v>518</v>
      </c>
      <c r="C307" s="5">
        <f>SUMIF('Counting Free'!B:B,'Main Data Kunjungan'!B307,'Counting Kontrak'!E:E)</f>
        <v>0</v>
      </c>
      <c r="D307" s="5">
        <f>SUMIF('Counting Kontrak'!$B:$B,'Main Data Kunjungan'!B307,'Counting Kontrak'!$C:$C)</f>
        <v>0</v>
      </c>
      <c r="E307" s="5">
        <f>SUMIF('Counting Kontrak'!$F:$F,B307,'Counting Kontrak'!$G:$G)</f>
        <v>0</v>
      </c>
      <c r="F307" s="5">
        <f t="shared" si="4"/>
        <v>0</v>
      </c>
    </row>
    <row r="308" spans="1:6" x14ac:dyDescent="0.3">
      <c r="A308" s="5">
        <v>307</v>
      </c>
      <c r="B308" s="8" t="s">
        <v>519</v>
      </c>
      <c r="C308" s="5">
        <f>SUMIF('Counting Free'!B:B,'Main Data Kunjungan'!B308,'Counting Kontrak'!E:E)</f>
        <v>0</v>
      </c>
      <c r="D308" s="5">
        <f>SUMIF('Counting Kontrak'!$B:$B,'Main Data Kunjungan'!B308,'Counting Kontrak'!$C:$C)</f>
        <v>0</v>
      </c>
      <c r="E308" s="5">
        <f>SUMIF('Counting Kontrak'!$F:$F,B308,'Counting Kontrak'!$G:$G)</f>
        <v>0</v>
      </c>
      <c r="F308" s="5">
        <f t="shared" si="4"/>
        <v>0</v>
      </c>
    </row>
    <row r="309" spans="1:6" x14ac:dyDescent="0.3">
      <c r="A309" s="5">
        <v>308</v>
      </c>
      <c r="B309" s="8" t="s">
        <v>520</v>
      </c>
      <c r="C309" s="5">
        <f>SUMIF('Counting Free'!B:B,'Main Data Kunjungan'!B309,'Counting Kontrak'!E:E)</f>
        <v>0</v>
      </c>
      <c r="D309" s="5">
        <f>SUMIF('Counting Kontrak'!$B:$B,'Main Data Kunjungan'!B309,'Counting Kontrak'!$C:$C)</f>
        <v>0</v>
      </c>
      <c r="E309" s="5">
        <f>SUMIF('Counting Kontrak'!$F:$F,B309,'Counting Kontrak'!$G:$G)</f>
        <v>0</v>
      </c>
      <c r="F309" s="5">
        <f t="shared" si="4"/>
        <v>0</v>
      </c>
    </row>
    <row r="310" spans="1:6" x14ac:dyDescent="0.3">
      <c r="A310" s="5">
        <v>309</v>
      </c>
      <c r="B310" s="8" t="s">
        <v>521</v>
      </c>
      <c r="C310" s="5">
        <f>SUMIF('Counting Free'!B:B,'Main Data Kunjungan'!B310,'Counting Kontrak'!E:E)</f>
        <v>0</v>
      </c>
      <c r="D310" s="5">
        <f>SUMIF('Counting Kontrak'!$B:$B,'Main Data Kunjungan'!B310,'Counting Kontrak'!$C:$C)</f>
        <v>0</v>
      </c>
      <c r="E310" s="5">
        <f>SUMIF('Counting Kontrak'!$F:$F,B310,'Counting Kontrak'!$G:$G)</f>
        <v>0</v>
      </c>
      <c r="F310" s="5">
        <f t="shared" si="4"/>
        <v>0</v>
      </c>
    </row>
    <row r="311" spans="1:6" x14ac:dyDescent="0.3">
      <c r="A311" s="5">
        <v>310</v>
      </c>
      <c r="B311" s="8" t="s">
        <v>522</v>
      </c>
      <c r="C311" s="5">
        <f>SUMIF('Counting Free'!B:B,'Main Data Kunjungan'!B311,'Counting Kontrak'!E:E)</f>
        <v>0</v>
      </c>
      <c r="D311" s="5">
        <f>SUMIF('Counting Kontrak'!$B:$B,'Main Data Kunjungan'!B311,'Counting Kontrak'!$C:$C)</f>
        <v>0</v>
      </c>
      <c r="E311" s="5">
        <f>SUMIF('Counting Kontrak'!$F:$F,B311,'Counting Kontrak'!$G:$G)</f>
        <v>0</v>
      </c>
      <c r="F311" s="5">
        <f t="shared" si="4"/>
        <v>0</v>
      </c>
    </row>
    <row r="312" spans="1:6" x14ac:dyDescent="0.3">
      <c r="A312" s="5">
        <v>311</v>
      </c>
      <c r="B312" s="8" t="s">
        <v>523</v>
      </c>
      <c r="C312" s="5">
        <f>SUMIF('Counting Free'!B:B,'Main Data Kunjungan'!B312,'Counting Kontrak'!E:E)</f>
        <v>0</v>
      </c>
      <c r="D312" s="5">
        <f>SUMIF('Counting Kontrak'!$B:$B,'Main Data Kunjungan'!B312,'Counting Kontrak'!$C:$C)</f>
        <v>0</v>
      </c>
      <c r="E312" s="5">
        <f>SUMIF('Counting Kontrak'!$F:$F,B312,'Counting Kontrak'!$G:$G)</f>
        <v>0</v>
      </c>
      <c r="F312" s="5">
        <f t="shared" si="4"/>
        <v>0</v>
      </c>
    </row>
    <row r="313" spans="1:6" x14ac:dyDescent="0.3">
      <c r="A313" s="5">
        <v>312</v>
      </c>
      <c r="B313" s="8" t="s">
        <v>524</v>
      </c>
      <c r="C313" s="5">
        <f>SUMIF('Counting Free'!B:B,'Main Data Kunjungan'!B313,'Counting Kontrak'!E:E)</f>
        <v>0</v>
      </c>
      <c r="D313" s="5">
        <f>SUMIF('Counting Kontrak'!$B:$B,'Main Data Kunjungan'!B313,'Counting Kontrak'!$C:$C)</f>
        <v>0</v>
      </c>
      <c r="E313" s="5">
        <f>SUMIF('Counting Kontrak'!$F:$F,B313,'Counting Kontrak'!$G:$G)</f>
        <v>0</v>
      </c>
      <c r="F313" s="5">
        <f t="shared" si="4"/>
        <v>0</v>
      </c>
    </row>
    <row r="314" spans="1:6" x14ac:dyDescent="0.3">
      <c r="A314" s="5">
        <v>313</v>
      </c>
      <c r="B314" s="8" t="s">
        <v>525</v>
      </c>
      <c r="C314" s="5">
        <f>SUMIF('Counting Free'!B:B,'Main Data Kunjungan'!B314,'Counting Kontrak'!E:E)</f>
        <v>0</v>
      </c>
      <c r="D314" s="5">
        <f>SUMIF('Counting Kontrak'!$B:$B,'Main Data Kunjungan'!B314,'Counting Kontrak'!$C:$C)</f>
        <v>0</v>
      </c>
      <c r="E314" s="5">
        <f>SUMIF('Counting Kontrak'!$F:$F,B314,'Counting Kontrak'!$G:$G)</f>
        <v>0</v>
      </c>
      <c r="F314" s="5">
        <f t="shared" si="4"/>
        <v>0</v>
      </c>
    </row>
    <row r="315" spans="1:6" x14ac:dyDescent="0.3">
      <c r="A315" s="5">
        <v>314</v>
      </c>
      <c r="B315" s="8" t="s">
        <v>526</v>
      </c>
      <c r="C315" s="5">
        <f>SUMIF('Counting Free'!B:B,'Main Data Kunjungan'!B315,'Counting Kontrak'!E:E)</f>
        <v>0</v>
      </c>
      <c r="D315" s="5">
        <f>SUMIF('Counting Kontrak'!$B:$B,'Main Data Kunjungan'!B315,'Counting Kontrak'!$C:$C)</f>
        <v>0</v>
      </c>
      <c r="E315" s="5">
        <f>SUMIF('Counting Kontrak'!$F:$F,B315,'Counting Kontrak'!$G:$G)</f>
        <v>0</v>
      </c>
      <c r="F315" s="5">
        <f t="shared" si="4"/>
        <v>0</v>
      </c>
    </row>
    <row r="316" spans="1:6" x14ac:dyDescent="0.3">
      <c r="A316" s="5">
        <v>315</v>
      </c>
      <c r="B316" s="8" t="s">
        <v>527</v>
      </c>
      <c r="C316" s="5">
        <f>SUMIF('Counting Free'!B:B,'Main Data Kunjungan'!B316,'Counting Kontrak'!E:E)</f>
        <v>0</v>
      </c>
      <c r="D316" s="5">
        <f>SUMIF('Counting Kontrak'!$B:$B,'Main Data Kunjungan'!B316,'Counting Kontrak'!$C:$C)</f>
        <v>0</v>
      </c>
      <c r="E316" s="5">
        <f>SUMIF('Counting Kontrak'!$F:$F,B316,'Counting Kontrak'!$G:$G)</f>
        <v>0</v>
      </c>
      <c r="F316" s="5">
        <f t="shared" si="4"/>
        <v>0</v>
      </c>
    </row>
    <row r="317" spans="1:6" x14ac:dyDescent="0.3">
      <c r="A317" s="5">
        <v>316</v>
      </c>
      <c r="B317" s="8" t="s">
        <v>528</v>
      </c>
      <c r="C317" s="5">
        <f>SUMIF('Counting Free'!B:B,'Main Data Kunjungan'!B317,'Counting Kontrak'!E:E)</f>
        <v>0</v>
      </c>
      <c r="D317" s="5">
        <f>SUMIF('Counting Kontrak'!$B:$B,'Main Data Kunjungan'!B317,'Counting Kontrak'!$C:$C)</f>
        <v>0</v>
      </c>
      <c r="E317" s="5">
        <f>SUMIF('Counting Kontrak'!$F:$F,B317,'Counting Kontrak'!$G:$G)</f>
        <v>0</v>
      </c>
      <c r="F317" s="5">
        <f t="shared" si="4"/>
        <v>0</v>
      </c>
    </row>
    <row r="318" spans="1:6" x14ac:dyDescent="0.3">
      <c r="A318" s="5">
        <v>317</v>
      </c>
      <c r="B318" s="8" t="s">
        <v>529</v>
      </c>
      <c r="C318" s="5">
        <f>SUMIF('Counting Free'!B:B,'Main Data Kunjungan'!B318,'Counting Kontrak'!E:E)</f>
        <v>0</v>
      </c>
      <c r="D318" s="5">
        <f>SUMIF('Counting Kontrak'!$B:$B,'Main Data Kunjungan'!B318,'Counting Kontrak'!$C:$C)</f>
        <v>0</v>
      </c>
      <c r="E318" s="5">
        <f>SUMIF('Counting Kontrak'!$F:$F,B318,'Counting Kontrak'!$G:$G)</f>
        <v>0</v>
      </c>
      <c r="F318" s="5">
        <f t="shared" si="4"/>
        <v>0</v>
      </c>
    </row>
    <row r="319" spans="1:6" x14ac:dyDescent="0.3">
      <c r="A319" s="5">
        <v>318</v>
      </c>
      <c r="B319" s="8" t="s">
        <v>530</v>
      </c>
      <c r="C319" s="5">
        <f>SUMIF('Counting Free'!B:B,'Main Data Kunjungan'!B319,'Counting Kontrak'!E:E)</f>
        <v>0</v>
      </c>
      <c r="D319" s="5">
        <f>SUMIF('Counting Kontrak'!$B:$B,'Main Data Kunjungan'!B319,'Counting Kontrak'!$C:$C)</f>
        <v>0</v>
      </c>
      <c r="E319" s="5">
        <f>SUMIF('Counting Kontrak'!$F:$F,B319,'Counting Kontrak'!$G:$G)</f>
        <v>0</v>
      </c>
      <c r="F319" s="5">
        <f t="shared" si="4"/>
        <v>0</v>
      </c>
    </row>
    <row r="320" spans="1:6" x14ac:dyDescent="0.3">
      <c r="A320" s="5">
        <v>319</v>
      </c>
      <c r="B320" s="8" t="s">
        <v>598</v>
      </c>
      <c r="C320" s="5">
        <f>SUMIF('Counting Free'!B:B,'Main Data Kunjungan'!B320,'Counting Kontrak'!E:E)</f>
        <v>0</v>
      </c>
      <c r="D320" s="5">
        <f>SUMIF('Counting Kontrak'!$B:$B,'Main Data Kunjungan'!B320,'Counting Kontrak'!$C:$C)</f>
        <v>0</v>
      </c>
      <c r="E320" s="5">
        <f>SUMIF('Counting Kontrak'!$F:$F,B320,'Counting Kontrak'!$G:$G)</f>
        <v>0</v>
      </c>
      <c r="F320" s="5">
        <f t="shared" si="4"/>
        <v>0</v>
      </c>
    </row>
    <row r="321" spans="1:6" x14ac:dyDescent="0.3">
      <c r="A321" s="5">
        <v>320</v>
      </c>
      <c r="B321" s="8" t="s">
        <v>599</v>
      </c>
      <c r="C321" s="5">
        <f>SUMIF('Counting Free'!B:B,'Main Data Kunjungan'!B321,'Counting Kontrak'!E:E)</f>
        <v>0</v>
      </c>
      <c r="D321" s="5">
        <f>SUMIF('Counting Kontrak'!$B:$B,'Main Data Kunjungan'!B321,'Counting Kontrak'!$C:$C)</f>
        <v>0</v>
      </c>
      <c r="E321" s="5">
        <f>SUMIF('Counting Kontrak'!$F:$F,B321,'Counting Kontrak'!$G:$G)</f>
        <v>0</v>
      </c>
      <c r="F321" s="5">
        <f t="shared" si="4"/>
        <v>0</v>
      </c>
    </row>
    <row r="322" spans="1:6" x14ac:dyDescent="0.3">
      <c r="A322" s="5">
        <v>321</v>
      </c>
      <c r="B322" s="8" t="s">
        <v>600</v>
      </c>
      <c r="C322" s="5">
        <f>SUMIF('Counting Free'!B:B,'Main Data Kunjungan'!B322,'Counting Kontrak'!E:E)</f>
        <v>0</v>
      </c>
      <c r="D322" s="5">
        <f>SUMIF('Counting Kontrak'!$B:$B,'Main Data Kunjungan'!B322,'Counting Kontrak'!$C:$C)</f>
        <v>0</v>
      </c>
      <c r="E322" s="5">
        <f>SUMIF('Counting Kontrak'!$F:$F,B322,'Counting Kontrak'!$G:$G)</f>
        <v>0</v>
      </c>
      <c r="F322" s="5">
        <f t="shared" si="4"/>
        <v>0</v>
      </c>
    </row>
    <row r="323" spans="1:6" x14ac:dyDescent="0.3">
      <c r="A323" s="5">
        <v>322</v>
      </c>
      <c r="B323" t="s">
        <v>967</v>
      </c>
      <c r="C323" s="5">
        <f>SUMIF('Counting Free'!B:B,'Main Data Kunjungan'!B323,'Counting Kontrak'!E:E)</f>
        <v>0</v>
      </c>
    </row>
    <row r="324" spans="1:6" x14ac:dyDescent="0.3">
      <c r="A324" s="5">
        <v>323</v>
      </c>
      <c r="B324" t="s">
        <v>481</v>
      </c>
      <c r="C324" s="5">
        <f>SUMIF('Counting Free'!B:B,'Main Data Kunjungan'!B324,'Counting Kontrak'!E:E)</f>
        <v>0</v>
      </c>
    </row>
    <row r="325" spans="1:6" x14ac:dyDescent="0.3">
      <c r="A325" s="5">
        <v>324</v>
      </c>
      <c r="B325" t="s">
        <v>968</v>
      </c>
      <c r="C325" s="5">
        <f>SUMIF('Counting Free'!B:B,'Main Data Kunjungan'!B325,'Counting Kontrak'!E:E)</f>
        <v>0</v>
      </c>
    </row>
    <row r="326" spans="1:6" x14ac:dyDescent="0.3">
      <c r="A326" s="5">
        <v>325</v>
      </c>
      <c r="B326" t="s">
        <v>969</v>
      </c>
      <c r="C326" s="5">
        <f>SUMIF('Counting Free'!B:B,'Main Data Kunjungan'!B326,'Counting Kontrak'!E:E)</f>
        <v>0</v>
      </c>
    </row>
    <row r="327" spans="1:6" x14ac:dyDescent="0.3">
      <c r="A327" s="5">
        <v>326</v>
      </c>
      <c r="B327" t="s">
        <v>970</v>
      </c>
      <c r="C327" s="5">
        <f>SUMIF('Counting Free'!B:B,'Main Data Kunjungan'!B327,'Counting Kontrak'!E:E)</f>
        <v>0</v>
      </c>
    </row>
    <row r="328" spans="1:6" x14ac:dyDescent="0.3">
      <c r="A328" s="5">
        <v>327</v>
      </c>
      <c r="B328" t="s">
        <v>974</v>
      </c>
      <c r="C328" s="5">
        <f>SUMIF('Counting Free'!B:B,'Main Data Kunjungan'!B328,'Counting Kontrak'!E:E)</f>
        <v>0</v>
      </c>
    </row>
    <row r="329" spans="1:6" x14ac:dyDescent="0.3">
      <c r="A329" s="5">
        <v>328</v>
      </c>
      <c r="B329" t="s">
        <v>987</v>
      </c>
      <c r="C329" s="5">
        <f>SUMIF('Counting Free'!B:B,'Main Data Kunjungan'!B329,'Counting Kontrak'!E:E)</f>
        <v>0</v>
      </c>
    </row>
    <row r="330" spans="1:6" x14ac:dyDescent="0.3">
      <c r="A330" s="5">
        <v>329</v>
      </c>
      <c r="B330" t="s">
        <v>975</v>
      </c>
      <c r="C330" s="5">
        <f>SUMIF('Counting Free'!B:B,'Main Data Kunjungan'!B330,'Counting Kontrak'!E:E)</f>
        <v>0</v>
      </c>
    </row>
    <row r="331" spans="1:6" x14ac:dyDescent="0.3">
      <c r="A331" s="5">
        <v>330</v>
      </c>
      <c r="B331" t="s">
        <v>976</v>
      </c>
      <c r="C331" s="5">
        <f>SUMIF('Counting Free'!B:B,'Main Data Kunjungan'!B331,'Counting Kontrak'!E:E)</f>
        <v>0</v>
      </c>
    </row>
    <row r="332" spans="1:6" x14ac:dyDescent="0.3">
      <c r="A332" s="5">
        <v>331</v>
      </c>
      <c r="B332" t="s">
        <v>977</v>
      </c>
      <c r="C332" s="5">
        <f>SUMIF('Counting Free'!B:B,'Main Data Kunjungan'!B332,'Counting Kontrak'!E:E)</f>
        <v>0</v>
      </c>
    </row>
    <row r="333" spans="1:6" x14ac:dyDescent="0.3">
      <c r="A333" s="5">
        <v>332</v>
      </c>
      <c r="B333" t="s">
        <v>978</v>
      </c>
      <c r="C333" s="5">
        <f>SUMIF('Counting Free'!B:B,'Main Data Kunjungan'!B333,'Counting Kontrak'!E:E)</f>
        <v>0</v>
      </c>
    </row>
    <row r="334" spans="1:6" x14ac:dyDescent="0.3">
      <c r="A334" s="5">
        <v>333</v>
      </c>
      <c r="B334" t="s">
        <v>979</v>
      </c>
      <c r="C334" s="5">
        <f>SUMIF('Counting Free'!B:B,'Main Data Kunjungan'!B334,'Counting Kontrak'!E:E)</f>
        <v>0</v>
      </c>
    </row>
    <row r="335" spans="1:6" x14ac:dyDescent="0.3">
      <c r="A335" s="5">
        <v>334</v>
      </c>
      <c r="B335" t="s">
        <v>990</v>
      </c>
      <c r="C335" s="5">
        <f>SUMIF('Counting Free'!B:B,'Main Data Kunjungan'!B335,'Counting Kontrak'!E:E)</f>
        <v>0</v>
      </c>
    </row>
    <row r="336" spans="1:6" x14ac:dyDescent="0.3">
      <c r="A336" s="5">
        <v>335</v>
      </c>
      <c r="B336" t="s">
        <v>989</v>
      </c>
      <c r="C336" s="5">
        <f>SUMIF('Counting Free'!B:B,'Main Data Kunjungan'!B336,'Counting Kontrak'!E:E)</f>
        <v>0</v>
      </c>
    </row>
    <row r="337" spans="1:3" x14ac:dyDescent="0.3">
      <c r="A337" s="5">
        <v>336</v>
      </c>
      <c r="B337" t="s">
        <v>991</v>
      </c>
      <c r="C337" s="5">
        <f>SUMIF('Counting Free'!B:B,'Main Data Kunjungan'!B337,'Counting Kontrak'!E:E)</f>
        <v>0</v>
      </c>
    </row>
    <row r="338" spans="1:3" x14ac:dyDescent="0.3">
      <c r="A338" s="5">
        <v>337</v>
      </c>
      <c r="B338" t="s">
        <v>992</v>
      </c>
      <c r="C338" s="5">
        <f>SUMIF('Counting Free'!B:B,'Main Data Kunjungan'!B338,'Counting Kontrak'!E:E)</f>
        <v>0</v>
      </c>
    </row>
    <row r="339" spans="1:3" x14ac:dyDescent="0.3">
      <c r="A339" s="5">
        <v>338</v>
      </c>
      <c r="B339" t="s">
        <v>993</v>
      </c>
      <c r="C339" s="5">
        <f>SUMIF('Counting Free'!B:B,'Main Data Kunjungan'!B339,'Counting Kontrak'!E:E)</f>
        <v>0</v>
      </c>
    </row>
    <row r="340" spans="1:3" x14ac:dyDescent="0.3">
      <c r="A340" s="5">
        <v>339</v>
      </c>
      <c r="B340" t="s">
        <v>997</v>
      </c>
      <c r="C340" s="5">
        <f>SUMIF('Counting Free'!B:B,'Main Data Kunjungan'!B340,'Counting Kontrak'!E:E)</f>
        <v>0</v>
      </c>
    </row>
    <row r="341" spans="1:3" x14ac:dyDescent="0.3">
      <c r="A341" s="5">
        <v>340</v>
      </c>
      <c r="B341" t="s">
        <v>998</v>
      </c>
      <c r="C341" s="5">
        <f>SUMIF('Counting Free'!B:B,'Main Data Kunjungan'!B341,'Counting Kontrak'!E:E)</f>
        <v>0</v>
      </c>
    </row>
    <row r="342" spans="1:3" x14ac:dyDescent="0.3">
      <c r="A342" s="5">
        <v>341</v>
      </c>
      <c r="B342" t="s">
        <v>999</v>
      </c>
      <c r="C342" s="5">
        <f>SUMIF('Counting Free'!B:B,'Main Data Kunjungan'!B342,'Counting Kontrak'!E:E)</f>
        <v>0</v>
      </c>
    </row>
    <row r="343" spans="1:3" x14ac:dyDescent="0.3">
      <c r="A343" s="5">
        <v>342</v>
      </c>
      <c r="B343" t="s">
        <v>1007</v>
      </c>
      <c r="C343" s="5">
        <f>SUMIF('Counting Free'!B:B,'Main Data Kunjungan'!B343,'Counting Kontrak'!E:E)</f>
        <v>0</v>
      </c>
    </row>
    <row r="344" spans="1:3" x14ac:dyDescent="0.3">
      <c r="A344" s="5">
        <v>343</v>
      </c>
      <c r="B344" t="s">
        <v>1002</v>
      </c>
      <c r="C344" s="5">
        <f>SUMIF('Counting Free'!B:B,'Main Data Kunjungan'!B344,'Counting Kontrak'!E:E)</f>
        <v>0</v>
      </c>
    </row>
    <row r="345" spans="1:3" x14ac:dyDescent="0.3">
      <c r="A345" s="5">
        <v>344</v>
      </c>
      <c r="B345" t="s">
        <v>1000</v>
      </c>
      <c r="C345" s="5">
        <f>SUMIF('Counting Free'!B:B,'Main Data Kunjungan'!B345,'Counting Kontrak'!E:E)</f>
        <v>0</v>
      </c>
    </row>
    <row r="346" spans="1:3" x14ac:dyDescent="0.3">
      <c r="A346" s="5">
        <v>345</v>
      </c>
      <c r="B346" t="s">
        <v>1001</v>
      </c>
      <c r="C346" s="5">
        <f>SUMIF('Counting Free'!B:B,'Main Data Kunjungan'!B346,'Counting Kontrak'!E:E)</f>
        <v>0</v>
      </c>
    </row>
    <row r="347" spans="1:3" x14ac:dyDescent="0.3">
      <c r="A347" s="5">
        <v>346</v>
      </c>
      <c r="B347" t="s">
        <v>1012</v>
      </c>
      <c r="C347" s="5">
        <f>SUMIF('Counting Free'!B:B,'Main Data Kunjungan'!B347,'Counting Kontrak'!E:E)</f>
        <v>0</v>
      </c>
    </row>
    <row r="348" spans="1:3" x14ac:dyDescent="0.3">
      <c r="A348" s="5">
        <v>347</v>
      </c>
      <c r="B348" t="s">
        <v>1013</v>
      </c>
      <c r="C348" s="5">
        <f>SUMIF('Counting Free'!B:B,'Main Data Kunjungan'!B348,'Counting Kontrak'!E:E)</f>
        <v>0</v>
      </c>
    </row>
    <row r="349" spans="1:3" x14ac:dyDescent="0.3">
      <c r="A349" s="5">
        <v>348</v>
      </c>
      <c r="B349" t="s">
        <v>1014</v>
      </c>
      <c r="C349" s="5">
        <f>SUMIF('Counting Free'!B:B,'Main Data Kunjungan'!B349,'Counting Kontrak'!E:E)</f>
        <v>0</v>
      </c>
    </row>
    <row r="350" spans="1:3" x14ac:dyDescent="0.3">
      <c r="A350" s="5">
        <v>349</v>
      </c>
      <c r="B350" t="s">
        <v>1015</v>
      </c>
      <c r="C350" s="5">
        <f>SUMIF('Counting Free'!B:B,'Main Data Kunjungan'!B350,'Counting Kontrak'!E:E)</f>
        <v>0</v>
      </c>
    </row>
    <row r="351" spans="1:3" x14ac:dyDescent="0.3">
      <c r="A351" s="5">
        <v>350</v>
      </c>
      <c r="B351" t="s">
        <v>1023</v>
      </c>
      <c r="C351" s="5">
        <f>SUMIF('Counting Free'!B:B,'Main Data Kunjungan'!B351,'Counting Kontrak'!E:E)</f>
        <v>0</v>
      </c>
    </row>
    <row r="352" spans="1:3" x14ac:dyDescent="0.3">
      <c r="A352" s="5">
        <v>351</v>
      </c>
      <c r="B352" t="s">
        <v>1016</v>
      </c>
      <c r="C352" s="5">
        <f>SUMIF('Counting Free'!B:B,'Main Data Kunjungan'!B352,'Counting Kontrak'!E:E)</f>
        <v>0</v>
      </c>
    </row>
    <row r="353" spans="1:3" x14ac:dyDescent="0.3">
      <c r="A353" s="5">
        <v>352</v>
      </c>
      <c r="B353" t="s">
        <v>1017</v>
      </c>
      <c r="C353" s="5">
        <f>SUMIF('Counting Free'!B:B,'Main Data Kunjungan'!B353,'Counting Kontrak'!E:E)</f>
        <v>0</v>
      </c>
    </row>
    <row r="354" spans="1:3" x14ac:dyDescent="0.3">
      <c r="A354" s="5">
        <v>353</v>
      </c>
      <c r="B354" t="s">
        <v>1026</v>
      </c>
      <c r="C354" s="5">
        <f>SUMIF('Counting Free'!B:B,'Main Data Kunjungan'!B354,'Counting Kontrak'!E:E)</f>
        <v>0</v>
      </c>
    </row>
    <row r="355" spans="1:3" x14ac:dyDescent="0.3">
      <c r="A355" s="5">
        <v>354</v>
      </c>
      <c r="B355" t="s">
        <v>1030</v>
      </c>
      <c r="C355" s="5">
        <f>SUMIF('Counting Free'!B:B,'Main Data Kunjungan'!B355,'Counting Kontrak'!E:E)</f>
        <v>0</v>
      </c>
    </row>
    <row r="356" spans="1:3" x14ac:dyDescent="0.3">
      <c r="A356" s="5">
        <v>355</v>
      </c>
      <c r="B356" t="s">
        <v>1029</v>
      </c>
      <c r="C356" s="5">
        <f>SUMIF('Counting Free'!B:B,'Main Data Kunjungan'!B356,'Counting Kontrak'!E:E)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P404"/>
  <sheetViews>
    <sheetView tabSelected="1" topLeftCell="A329" zoomScaleNormal="100" workbookViewId="0">
      <selection activeCell="C405" sqref="C405"/>
    </sheetView>
  </sheetViews>
  <sheetFormatPr defaultRowHeight="14.4" x14ac:dyDescent="0.3"/>
  <cols>
    <col min="1" max="1" width="4" bestFit="1" customWidth="1"/>
    <col min="2" max="2" width="17.21875" customWidth="1"/>
    <col min="3" max="3" width="22.21875" bestFit="1" customWidth="1"/>
    <col min="4" max="4" width="58.21875" customWidth="1"/>
    <col min="5" max="5" width="130.77734375" bestFit="1" customWidth="1"/>
    <col min="6" max="6" width="17.33203125" bestFit="1" customWidth="1"/>
    <col min="7" max="7" width="18.21875" style="6" bestFit="1" customWidth="1"/>
    <col min="8" max="8" width="10.44140625" style="6" bestFit="1" customWidth="1"/>
    <col min="9" max="9" width="15.77734375" style="6" customWidth="1"/>
    <col min="10" max="10" width="7.5546875" style="6" customWidth="1"/>
    <col min="11" max="11" width="16" style="6" bestFit="1" customWidth="1"/>
    <col min="12" max="12" width="6" style="6" bestFit="1" customWidth="1"/>
    <col min="13" max="13" width="19" style="6" bestFit="1" customWidth="1"/>
    <col min="14" max="14" width="11.44140625" bestFit="1" customWidth="1"/>
  </cols>
  <sheetData>
    <row r="1" spans="1:16" x14ac:dyDescent="0.3">
      <c r="A1" s="9" t="s">
        <v>0</v>
      </c>
      <c r="B1" s="9" t="s">
        <v>360</v>
      </c>
      <c r="C1" s="9" t="s">
        <v>359</v>
      </c>
      <c r="D1" s="9" t="s">
        <v>1</v>
      </c>
      <c r="E1" s="9" t="s">
        <v>661</v>
      </c>
      <c r="F1" s="9" t="s">
        <v>606</v>
      </c>
      <c r="G1" s="9" t="s">
        <v>411</v>
      </c>
      <c r="H1" s="11" t="s">
        <v>397</v>
      </c>
      <c r="I1" s="9" t="s">
        <v>413</v>
      </c>
      <c r="J1" s="11" t="s">
        <v>397</v>
      </c>
      <c r="K1" s="9" t="s">
        <v>412</v>
      </c>
      <c r="L1" s="11" t="s">
        <v>397</v>
      </c>
      <c r="M1" s="9" t="s">
        <v>415</v>
      </c>
      <c r="O1">
        <v>180</v>
      </c>
      <c r="P1">
        <v>120</v>
      </c>
    </row>
    <row r="2" spans="1:16" x14ac:dyDescent="0.3">
      <c r="A2">
        <v>311</v>
      </c>
      <c r="B2" t="s">
        <v>341</v>
      </c>
      <c r="C2" t="s">
        <v>589</v>
      </c>
      <c r="D2" t="s">
        <v>523</v>
      </c>
      <c r="E2" t="e">
        <v>#N/A</v>
      </c>
      <c r="F2" s="1" t="s">
        <v>610</v>
      </c>
      <c r="G2" s="16">
        <v>45783</v>
      </c>
      <c r="H2" s="22" t="s">
        <v>659</v>
      </c>
      <c r="I2" s="6">
        <v>45923</v>
      </c>
      <c r="J2" s="22" t="s">
        <v>408</v>
      </c>
      <c r="K2" s="6">
        <f>I2+$O$1</f>
        <v>46103</v>
      </c>
      <c r="M2" s="6">
        <f>IF(H2="Done",IF(J2="Done",IF(L2="Done","-",K2),I2),G2)</f>
        <v>46103</v>
      </c>
      <c r="N2" s="6"/>
    </row>
    <row r="3" spans="1:16" x14ac:dyDescent="0.3">
      <c r="A3">
        <v>309</v>
      </c>
      <c r="B3" t="s">
        <v>388</v>
      </c>
      <c r="D3" t="s">
        <v>521</v>
      </c>
      <c r="E3" t="s">
        <v>924</v>
      </c>
      <c r="F3" s="1" t="s">
        <v>610</v>
      </c>
      <c r="G3" s="16">
        <v>45782</v>
      </c>
      <c r="H3" s="22" t="s">
        <v>659</v>
      </c>
      <c r="I3" s="6">
        <v>45939</v>
      </c>
      <c r="J3" s="22" t="s">
        <v>958</v>
      </c>
      <c r="K3" s="6">
        <v>46126</v>
      </c>
      <c r="L3" s="6" t="s">
        <v>1635</v>
      </c>
      <c r="M3" s="6">
        <f t="shared" ref="M3:M66" si="0">IF(H3="Done",IF(J3="Done",IF(L3="Done","-",K3),I3),G3)</f>
        <v>45939</v>
      </c>
    </row>
    <row r="4" spans="1:16" x14ac:dyDescent="0.3">
      <c r="A4">
        <v>314</v>
      </c>
      <c r="B4" t="s">
        <v>388</v>
      </c>
      <c r="C4" t="s">
        <v>591</v>
      </c>
      <c r="D4" t="s">
        <v>526</v>
      </c>
      <c r="E4" t="e">
        <v>#N/A</v>
      </c>
      <c r="F4" s="1" t="s">
        <v>617</v>
      </c>
      <c r="G4" s="16">
        <v>45800</v>
      </c>
      <c r="H4" s="22" t="s">
        <v>659</v>
      </c>
      <c r="I4" s="6">
        <v>45946</v>
      </c>
      <c r="J4" s="22" t="s">
        <v>408</v>
      </c>
      <c r="K4" s="6">
        <f t="shared" ref="K4:K66" si="1">I4+$O$1</f>
        <v>46126</v>
      </c>
      <c r="M4" s="6">
        <f t="shared" si="0"/>
        <v>46126</v>
      </c>
    </row>
    <row r="5" spans="1:16" x14ac:dyDescent="0.3">
      <c r="A5">
        <v>315</v>
      </c>
      <c r="B5" t="s">
        <v>389</v>
      </c>
      <c r="C5" t="s">
        <v>592</v>
      </c>
      <c r="D5" t="s">
        <v>527</v>
      </c>
      <c r="E5" t="s">
        <v>925</v>
      </c>
      <c r="F5" s="1" t="s">
        <v>610</v>
      </c>
      <c r="G5" s="16">
        <v>45801</v>
      </c>
      <c r="H5" s="22" t="s">
        <v>659</v>
      </c>
      <c r="I5" s="6">
        <v>45968</v>
      </c>
      <c r="J5" s="22" t="s">
        <v>408</v>
      </c>
      <c r="K5" s="6">
        <f t="shared" si="1"/>
        <v>46148</v>
      </c>
      <c r="M5" s="6">
        <f t="shared" si="0"/>
        <v>46148</v>
      </c>
    </row>
    <row r="6" spans="1:16" x14ac:dyDescent="0.3">
      <c r="A6">
        <v>301</v>
      </c>
      <c r="B6" t="s">
        <v>388</v>
      </c>
      <c r="C6" t="s">
        <v>581</v>
      </c>
      <c r="D6" t="s">
        <v>513</v>
      </c>
      <c r="E6" t="e">
        <v>#N/A</v>
      </c>
      <c r="F6" s="1" t="s">
        <v>610</v>
      </c>
      <c r="G6" s="16">
        <v>45737</v>
      </c>
      <c r="H6" s="22" t="s">
        <v>659</v>
      </c>
      <c r="I6" s="6">
        <v>45901</v>
      </c>
      <c r="J6" s="22" t="s">
        <v>408</v>
      </c>
      <c r="K6" s="6">
        <f t="shared" si="1"/>
        <v>46081</v>
      </c>
      <c r="M6" s="6">
        <f t="shared" si="0"/>
        <v>46081</v>
      </c>
    </row>
    <row r="7" spans="1:16" x14ac:dyDescent="0.3">
      <c r="A7">
        <v>318</v>
      </c>
      <c r="B7" t="s">
        <v>389</v>
      </c>
      <c r="C7" t="s">
        <v>594</v>
      </c>
      <c r="D7" t="s">
        <v>530</v>
      </c>
      <c r="E7" t="e">
        <v>#N/A</v>
      </c>
      <c r="F7" s="1" t="s">
        <v>627</v>
      </c>
      <c r="G7" s="16">
        <v>45805</v>
      </c>
      <c r="H7" s="22" t="s">
        <v>659</v>
      </c>
      <c r="I7" s="6">
        <v>45958</v>
      </c>
      <c r="J7" s="22" t="s">
        <v>959</v>
      </c>
      <c r="K7" s="6">
        <f t="shared" si="1"/>
        <v>46138</v>
      </c>
      <c r="M7" s="6">
        <f t="shared" si="0"/>
        <v>45958</v>
      </c>
    </row>
    <row r="8" spans="1:16" x14ac:dyDescent="0.3">
      <c r="A8">
        <v>296</v>
      </c>
      <c r="B8" t="s">
        <v>388</v>
      </c>
      <c r="C8" t="s">
        <v>578</v>
      </c>
      <c r="D8" t="s">
        <v>508</v>
      </c>
      <c r="E8" t="e">
        <v>#N/A</v>
      </c>
      <c r="F8" s="1" t="s">
        <v>651</v>
      </c>
      <c r="G8" s="16">
        <v>45715</v>
      </c>
      <c r="H8" s="22" t="s">
        <v>659</v>
      </c>
      <c r="I8" s="6">
        <v>45903</v>
      </c>
      <c r="J8" s="22" t="s">
        <v>408</v>
      </c>
      <c r="K8" s="6">
        <f t="shared" si="1"/>
        <v>46083</v>
      </c>
      <c r="M8" s="6">
        <f t="shared" si="0"/>
        <v>46083</v>
      </c>
    </row>
    <row r="9" spans="1:16" x14ac:dyDescent="0.3">
      <c r="A9">
        <v>299</v>
      </c>
      <c r="B9" t="s">
        <v>389</v>
      </c>
      <c r="C9" t="s">
        <v>580</v>
      </c>
      <c r="D9" t="s">
        <v>511</v>
      </c>
      <c r="E9" t="e">
        <v>#N/A</v>
      </c>
      <c r="F9" s="1" t="s">
        <v>610</v>
      </c>
      <c r="G9" s="16">
        <v>45733</v>
      </c>
      <c r="H9" s="22" t="s">
        <v>659</v>
      </c>
      <c r="I9" s="6">
        <v>45931</v>
      </c>
      <c r="J9" s="22" t="s">
        <v>408</v>
      </c>
      <c r="K9" s="6">
        <f t="shared" si="1"/>
        <v>46111</v>
      </c>
      <c r="M9" s="6">
        <f t="shared" si="0"/>
        <v>46111</v>
      </c>
    </row>
    <row r="10" spans="1:16" x14ac:dyDescent="0.3">
      <c r="A10">
        <v>289</v>
      </c>
      <c r="B10" t="s">
        <v>388</v>
      </c>
      <c r="C10" t="s">
        <v>574</v>
      </c>
      <c r="D10" t="s">
        <v>501</v>
      </c>
      <c r="E10" t="s">
        <v>913</v>
      </c>
      <c r="F10" s="1" t="s">
        <v>608</v>
      </c>
      <c r="G10" s="6">
        <v>45862</v>
      </c>
      <c r="H10" s="22" t="s">
        <v>659</v>
      </c>
      <c r="I10" s="6">
        <v>46032</v>
      </c>
      <c r="J10" s="22" t="s">
        <v>408</v>
      </c>
      <c r="K10" s="6">
        <f t="shared" si="1"/>
        <v>46212</v>
      </c>
      <c r="M10" s="6">
        <f t="shared" si="0"/>
        <v>46212</v>
      </c>
    </row>
    <row r="11" spans="1:16" x14ac:dyDescent="0.3">
      <c r="A11">
        <v>286</v>
      </c>
      <c r="B11" t="s">
        <v>388</v>
      </c>
      <c r="C11" t="s">
        <v>571</v>
      </c>
      <c r="D11" t="s">
        <v>498</v>
      </c>
      <c r="E11" t="s">
        <v>911</v>
      </c>
      <c r="F11" s="1" t="s">
        <v>610</v>
      </c>
      <c r="G11" s="6">
        <v>45832</v>
      </c>
      <c r="H11" s="22" t="s">
        <v>659</v>
      </c>
      <c r="I11" s="6">
        <v>45989</v>
      </c>
      <c r="J11" s="22" t="s">
        <v>408</v>
      </c>
      <c r="K11" s="6">
        <f t="shared" si="1"/>
        <v>46169</v>
      </c>
      <c r="M11" s="6">
        <f t="shared" si="0"/>
        <v>46169</v>
      </c>
    </row>
    <row r="12" spans="1:16" x14ac:dyDescent="0.3">
      <c r="A12">
        <v>272</v>
      </c>
      <c r="B12" t="s">
        <v>388</v>
      </c>
      <c r="C12" t="s">
        <v>561</v>
      </c>
      <c r="D12" t="s">
        <v>484</v>
      </c>
      <c r="E12" t="s">
        <v>899</v>
      </c>
      <c r="F12" s="1" t="s">
        <v>608</v>
      </c>
      <c r="G12" s="6">
        <v>45840</v>
      </c>
      <c r="H12" s="22" t="s">
        <v>659</v>
      </c>
      <c r="I12" s="6">
        <v>46093</v>
      </c>
      <c r="J12" s="22" t="s">
        <v>408</v>
      </c>
      <c r="K12" s="6">
        <f t="shared" si="1"/>
        <v>46273</v>
      </c>
      <c r="M12" s="6">
        <f t="shared" si="0"/>
        <v>46273</v>
      </c>
    </row>
    <row r="13" spans="1:16" x14ac:dyDescent="0.3">
      <c r="A13">
        <v>295</v>
      </c>
      <c r="B13" t="s">
        <v>389</v>
      </c>
      <c r="C13" t="s">
        <v>577</v>
      </c>
      <c r="D13" t="s">
        <v>507</v>
      </c>
      <c r="E13" t="e">
        <v>#N/A</v>
      </c>
      <c r="F13" s="1" t="s">
        <v>954</v>
      </c>
      <c r="G13" s="16">
        <v>45715</v>
      </c>
      <c r="H13" s="22" t="s">
        <v>659</v>
      </c>
      <c r="I13" s="6">
        <v>45960</v>
      </c>
      <c r="J13" s="22" t="s">
        <v>408</v>
      </c>
      <c r="K13" s="6">
        <f t="shared" si="1"/>
        <v>46140</v>
      </c>
      <c r="M13" s="6">
        <f t="shared" si="0"/>
        <v>46140</v>
      </c>
    </row>
    <row r="14" spans="1:16" x14ac:dyDescent="0.3">
      <c r="A14">
        <v>306</v>
      </c>
      <c r="B14" t="s">
        <v>388</v>
      </c>
      <c r="C14" t="s">
        <v>585</v>
      </c>
      <c r="D14" t="s">
        <v>518</v>
      </c>
      <c r="E14" t="s">
        <v>922</v>
      </c>
      <c r="F14" s="1" t="s">
        <v>608</v>
      </c>
      <c r="G14" s="16">
        <v>45762</v>
      </c>
      <c r="H14" s="22" t="s">
        <v>659</v>
      </c>
      <c r="I14" s="6">
        <v>45888</v>
      </c>
      <c r="J14" s="22" t="s">
        <v>408</v>
      </c>
      <c r="K14" s="6">
        <f t="shared" si="1"/>
        <v>46068</v>
      </c>
      <c r="M14" s="6">
        <f t="shared" si="0"/>
        <v>46068</v>
      </c>
    </row>
    <row r="15" spans="1:16" x14ac:dyDescent="0.3">
      <c r="A15">
        <v>280</v>
      </c>
      <c r="B15" t="s">
        <v>389</v>
      </c>
      <c r="C15" t="s">
        <v>567</v>
      </c>
      <c r="D15" t="s">
        <v>492</v>
      </c>
      <c r="E15" t="s">
        <v>905</v>
      </c>
      <c r="F15" s="1" t="s">
        <v>615</v>
      </c>
      <c r="G15" s="6">
        <v>45842</v>
      </c>
      <c r="H15" s="22" t="s">
        <v>408</v>
      </c>
      <c r="I15" s="6">
        <v>45980</v>
      </c>
      <c r="J15" s="22" t="s">
        <v>408</v>
      </c>
      <c r="K15" s="6">
        <f t="shared" si="1"/>
        <v>46160</v>
      </c>
      <c r="M15" s="6">
        <f t="shared" si="0"/>
        <v>46160</v>
      </c>
    </row>
    <row r="16" spans="1:16" x14ac:dyDescent="0.3">
      <c r="A16">
        <v>278</v>
      </c>
      <c r="B16" t="s">
        <v>388</v>
      </c>
      <c r="C16" t="s">
        <v>565</v>
      </c>
      <c r="D16" t="s">
        <v>490</v>
      </c>
      <c r="E16" t="s">
        <v>904</v>
      </c>
      <c r="F16" s="1" t="s">
        <v>615</v>
      </c>
      <c r="G16" s="6">
        <v>45811</v>
      </c>
      <c r="H16" s="22" t="s">
        <v>659</v>
      </c>
      <c r="I16" s="6">
        <v>45896</v>
      </c>
      <c r="J16" s="22" t="s">
        <v>408</v>
      </c>
      <c r="K16" s="6">
        <f t="shared" si="1"/>
        <v>46076</v>
      </c>
      <c r="M16" s="6">
        <f t="shared" si="0"/>
        <v>46076</v>
      </c>
    </row>
    <row r="17" spans="1:13" x14ac:dyDescent="0.3">
      <c r="A17">
        <v>287</v>
      </c>
      <c r="B17" t="s">
        <v>388</v>
      </c>
      <c r="C17" t="s">
        <v>572</v>
      </c>
      <c r="D17" t="s">
        <v>499</v>
      </c>
      <c r="E17" t="s">
        <v>912</v>
      </c>
      <c r="F17" s="1" t="s">
        <v>611</v>
      </c>
      <c r="G17" s="6">
        <v>45807</v>
      </c>
      <c r="H17" s="22" t="s">
        <v>659</v>
      </c>
      <c r="I17" s="6">
        <v>45917</v>
      </c>
      <c r="J17" s="22" t="s">
        <v>1603</v>
      </c>
      <c r="K17" s="6">
        <v>46134</v>
      </c>
      <c r="L17" s="22" t="s">
        <v>408</v>
      </c>
      <c r="M17" s="6">
        <f t="shared" si="0"/>
        <v>45917</v>
      </c>
    </row>
    <row r="18" spans="1:13" x14ac:dyDescent="0.3">
      <c r="A18">
        <v>285</v>
      </c>
      <c r="B18" t="s">
        <v>388</v>
      </c>
      <c r="C18" t="s">
        <v>570</v>
      </c>
      <c r="D18" t="s">
        <v>497</v>
      </c>
      <c r="E18" t="s">
        <v>910</v>
      </c>
      <c r="F18" s="1" t="s">
        <v>617</v>
      </c>
      <c r="G18" s="6">
        <v>45794</v>
      </c>
      <c r="H18" s="22" t="s">
        <v>659</v>
      </c>
      <c r="I18" s="6">
        <v>45960</v>
      </c>
      <c r="J18" s="22" t="s">
        <v>408</v>
      </c>
      <c r="K18" s="6">
        <f t="shared" si="1"/>
        <v>46140</v>
      </c>
      <c r="M18" s="6">
        <f t="shared" si="0"/>
        <v>46140</v>
      </c>
    </row>
    <row r="19" spans="1:13" x14ac:dyDescent="0.3">
      <c r="A19">
        <v>298</v>
      </c>
      <c r="B19" t="s">
        <v>388</v>
      </c>
      <c r="C19" t="s">
        <v>579</v>
      </c>
      <c r="D19" t="s">
        <v>510</v>
      </c>
      <c r="E19" t="s">
        <v>918</v>
      </c>
      <c r="F19" s="1" t="s">
        <v>610</v>
      </c>
      <c r="G19" s="16">
        <v>45733</v>
      </c>
      <c r="H19" s="22" t="s">
        <v>659</v>
      </c>
      <c r="I19" s="6">
        <v>45887</v>
      </c>
      <c r="J19" s="22" t="s">
        <v>659</v>
      </c>
      <c r="K19" s="6">
        <f t="shared" si="1"/>
        <v>46067</v>
      </c>
      <c r="M19" s="6">
        <f t="shared" si="0"/>
        <v>46067</v>
      </c>
    </row>
    <row r="20" spans="1:13" x14ac:dyDescent="0.3">
      <c r="A20">
        <v>282</v>
      </c>
      <c r="B20" t="s">
        <v>388</v>
      </c>
      <c r="C20" t="s">
        <v>569</v>
      </c>
      <c r="D20" t="s">
        <v>494</v>
      </c>
      <c r="E20" t="s">
        <v>907</v>
      </c>
      <c r="F20" s="1" t="s">
        <v>608</v>
      </c>
      <c r="G20" s="6">
        <v>45754</v>
      </c>
      <c r="H20" s="22" t="s">
        <v>659</v>
      </c>
      <c r="I20" s="6">
        <v>45941</v>
      </c>
      <c r="J20" s="22" t="s">
        <v>408</v>
      </c>
      <c r="K20" s="6">
        <f t="shared" si="1"/>
        <v>46121</v>
      </c>
      <c r="M20" s="6">
        <f t="shared" si="0"/>
        <v>46121</v>
      </c>
    </row>
    <row r="21" spans="1:13" x14ac:dyDescent="0.3">
      <c r="A21">
        <v>265</v>
      </c>
      <c r="B21" t="s">
        <v>389</v>
      </c>
      <c r="C21" t="s">
        <v>557</v>
      </c>
      <c r="D21" t="s">
        <v>477</v>
      </c>
      <c r="E21" t="e">
        <v>#N/A</v>
      </c>
      <c r="F21" s="1" t="s">
        <v>611</v>
      </c>
      <c r="G21" s="6">
        <v>45904</v>
      </c>
      <c r="H21" s="22" t="s">
        <v>408</v>
      </c>
      <c r="I21" s="6">
        <f>G21+$O$1</f>
        <v>46084</v>
      </c>
      <c r="J21" s="26"/>
      <c r="K21" s="6">
        <f t="shared" si="1"/>
        <v>46264</v>
      </c>
      <c r="M21" s="6">
        <f t="shared" si="0"/>
        <v>46084</v>
      </c>
    </row>
    <row r="22" spans="1:13" x14ac:dyDescent="0.3">
      <c r="A22">
        <v>274</v>
      </c>
      <c r="B22" t="s">
        <v>388</v>
      </c>
      <c r="C22" t="s">
        <v>563</v>
      </c>
      <c r="D22" t="s">
        <v>486</v>
      </c>
      <c r="E22" t="s">
        <v>900</v>
      </c>
      <c r="F22" s="1" t="s">
        <v>610</v>
      </c>
      <c r="G22" s="6">
        <v>45829</v>
      </c>
      <c r="H22" s="22" t="s">
        <v>659</v>
      </c>
      <c r="I22" s="6">
        <v>45980</v>
      </c>
      <c r="J22" s="22" t="s">
        <v>408</v>
      </c>
      <c r="K22" s="6">
        <f t="shared" si="1"/>
        <v>46160</v>
      </c>
      <c r="M22" s="6">
        <f t="shared" si="0"/>
        <v>46160</v>
      </c>
    </row>
    <row r="23" spans="1:13" x14ac:dyDescent="0.3">
      <c r="A23">
        <v>307</v>
      </c>
      <c r="B23" t="s">
        <v>388</v>
      </c>
      <c r="C23" t="s">
        <v>586</v>
      </c>
      <c r="D23" t="s">
        <v>519</v>
      </c>
      <c r="E23" t="s">
        <v>923</v>
      </c>
      <c r="F23" s="1" t="s">
        <v>618</v>
      </c>
      <c r="G23" s="16">
        <v>45766</v>
      </c>
      <c r="H23" s="22" t="s">
        <v>659</v>
      </c>
      <c r="I23" s="6">
        <v>45987</v>
      </c>
      <c r="J23" s="22" t="s">
        <v>408</v>
      </c>
      <c r="K23" s="6">
        <f t="shared" si="1"/>
        <v>46167</v>
      </c>
      <c r="M23" s="6">
        <f t="shared" si="0"/>
        <v>46167</v>
      </c>
    </row>
    <row r="24" spans="1:13" x14ac:dyDescent="0.3">
      <c r="A24">
        <v>271</v>
      </c>
      <c r="B24" t="s">
        <v>388</v>
      </c>
      <c r="C24" t="s">
        <v>560</v>
      </c>
      <c r="D24" t="s">
        <v>483</v>
      </c>
      <c r="E24" t="s">
        <v>898</v>
      </c>
      <c r="F24" s="1" t="s">
        <v>617</v>
      </c>
      <c r="G24" s="6">
        <v>45817</v>
      </c>
      <c r="H24" s="22" t="s">
        <v>659</v>
      </c>
      <c r="I24" s="6">
        <v>45989</v>
      </c>
      <c r="J24" s="22" t="s">
        <v>408</v>
      </c>
      <c r="K24" s="6">
        <f t="shared" si="1"/>
        <v>46169</v>
      </c>
      <c r="M24" s="6">
        <f t="shared" si="0"/>
        <v>46169</v>
      </c>
    </row>
    <row r="25" spans="1:13" x14ac:dyDescent="0.3">
      <c r="A25">
        <v>273</v>
      </c>
      <c r="B25" t="s">
        <v>388</v>
      </c>
      <c r="C25" t="s">
        <v>562</v>
      </c>
      <c r="D25" t="s">
        <v>485</v>
      </c>
      <c r="E25">
        <v>0</v>
      </c>
      <c r="F25" s="1" t="s">
        <v>653</v>
      </c>
      <c r="G25" s="6">
        <v>45813</v>
      </c>
      <c r="H25" s="22" t="s">
        <v>659</v>
      </c>
      <c r="I25" s="6">
        <v>46034</v>
      </c>
      <c r="J25" s="22" t="s">
        <v>408</v>
      </c>
      <c r="K25" s="6">
        <f t="shared" si="1"/>
        <v>46214</v>
      </c>
      <c r="M25" s="6">
        <f t="shared" si="0"/>
        <v>46214</v>
      </c>
    </row>
    <row r="26" spans="1:13" x14ac:dyDescent="0.3">
      <c r="A26">
        <v>252</v>
      </c>
      <c r="B26" t="s">
        <v>388</v>
      </c>
      <c r="C26" t="s">
        <v>552</v>
      </c>
      <c r="D26" t="s">
        <v>465</v>
      </c>
      <c r="E26" t="s">
        <v>885</v>
      </c>
      <c r="F26" s="1" t="s">
        <v>627</v>
      </c>
      <c r="G26" s="6">
        <v>45848</v>
      </c>
      <c r="H26" s="22" t="s">
        <v>659</v>
      </c>
      <c r="I26" s="6">
        <v>46029</v>
      </c>
      <c r="J26" s="22" t="s">
        <v>408</v>
      </c>
      <c r="K26" s="6">
        <f t="shared" si="1"/>
        <v>46209</v>
      </c>
      <c r="M26" s="6">
        <f t="shared" si="0"/>
        <v>46209</v>
      </c>
    </row>
    <row r="27" spans="1:13" x14ac:dyDescent="0.3">
      <c r="A27">
        <v>267</v>
      </c>
      <c r="B27" t="s">
        <v>389</v>
      </c>
      <c r="C27" t="s">
        <v>558</v>
      </c>
      <c r="D27" t="s">
        <v>479</v>
      </c>
      <c r="E27" t="s">
        <v>895</v>
      </c>
      <c r="F27" s="1" t="s">
        <v>618</v>
      </c>
      <c r="G27" s="6">
        <v>45826</v>
      </c>
      <c r="H27" s="22" t="s">
        <v>659</v>
      </c>
      <c r="I27" s="6">
        <v>45988</v>
      </c>
      <c r="J27" s="22" t="s">
        <v>408</v>
      </c>
      <c r="K27" s="6">
        <f t="shared" si="1"/>
        <v>46168</v>
      </c>
      <c r="M27" s="6">
        <f t="shared" si="0"/>
        <v>46168</v>
      </c>
    </row>
    <row r="28" spans="1:13" x14ac:dyDescent="0.3">
      <c r="A28">
        <v>249</v>
      </c>
      <c r="B28" t="s">
        <v>388</v>
      </c>
      <c r="C28" t="s">
        <v>549</v>
      </c>
      <c r="D28" t="s">
        <v>462</v>
      </c>
      <c r="E28" t="s">
        <v>883</v>
      </c>
      <c r="F28" s="1" t="s">
        <v>625</v>
      </c>
      <c r="G28" s="6">
        <v>45805</v>
      </c>
      <c r="H28" s="22" t="s">
        <v>408</v>
      </c>
      <c r="I28" s="6">
        <v>46363</v>
      </c>
      <c r="J28" s="22" t="s">
        <v>408</v>
      </c>
      <c r="K28" s="6">
        <f t="shared" si="1"/>
        <v>46543</v>
      </c>
      <c r="M28" s="6">
        <f t="shared" si="0"/>
        <v>46543</v>
      </c>
    </row>
    <row r="29" spans="1:13" x14ac:dyDescent="0.3">
      <c r="A29">
        <v>246</v>
      </c>
      <c r="B29" t="s">
        <v>388</v>
      </c>
      <c r="C29" t="s">
        <v>547</v>
      </c>
      <c r="D29" t="s">
        <v>459</v>
      </c>
      <c r="E29" t="s">
        <v>880</v>
      </c>
      <c r="F29" s="1" t="s">
        <v>627</v>
      </c>
      <c r="G29" s="6">
        <v>45836</v>
      </c>
      <c r="H29" s="22" t="s">
        <v>659</v>
      </c>
      <c r="I29" s="6">
        <v>45989</v>
      </c>
      <c r="J29" s="22" t="s">
        <v>962</v>
      </c>
      <c r="K29" s="6">
        <f t="shared" si="1"/>
        <v>46169</v>
      </c>
      <c r="M29" s="6">
        <f t="shared" si="0"/>
        <v>45989</v>
      </c>
    </row>
    <row r="30" spans="1:13" x14ac:dyDescent="0.3">
      <c r="A30">
        <v>251</v>
      </c>
      <c r="B30" t="s">
        <v>388</v>
      </c>
      <c r="C30" t="s">
        <v>551</v>
      </c>
      <c r="D30" t="s">
        <v>464</v>
      </c>
      <c r="E30" t="e">
        <v>#N/A</v>
      </c>
      <c r="F30" s="1" t="s">
        <v>608</v>
      </c>
      <c r="G30" s="6">
        <v>45813</v>
      </c>
      <c r="H30" s="22" t="s">
        <v>659</v>
      </c>
      <c r="I30" s="6">
        <f>G30+$O$1</f>
        <v>45993</v>
      </c>
      <c r="J30" s="22" t="s">
        <v>659</v>
      </c>
      <c r="K30" s="6">
        <f t="shared" si="1"/>
        <v>46173</v>
      </c>
      <c r="M30" s="6">
        <f t="shared" si="0"/>
        <v>46173</v>
      </c>
    </row>
    <row r="31" spans="1:13" x14ac:dyDescent="0.3">
      <c r="A31">
        <v>233</v>
      </c>
      <c r="B31" t="s">
        <v>389</v>
      </c>
      <c r="C31" t="s">
        <v>543</v>
      </c>
      <c r="D31" t="s">
        <v>447</v>
      </c>
      <c r="E31" t="s">
        <v>868</v>
      </c>
      <c r="F31" s="1" t="s">
        <v>627</v>
      </c>
      <c r="G31" s="6">
        <v>45847</v>
      </c>
      <c r="H31" s="22" t="s">
        <v>659</v>
      </c>
      <c r="I31" s="6">
        <v>45966</v>
      </c>
      <c r="J31" s="22" t="s">
        <v>408</v>
      </c>
      <c r="K31" s="6">
        <f t="shared" si="1"/>
        <v>46146</v>
      </c>
      <c r="M31" s="6">
        <f t="shared" si="0"/>
        <v>46146</v>
      </c>
    </row>
    <row r="32" spans="1:13" x14ac:dyDescent="0.3">
      <c r="A32">
        <v>237</v>
      </c>
      <c r="B32" t="s">
        <v>388</v>
      </c>
      <c r="C32" t="s">
        <v>544</v>
      </c>
      <c r="D32" t="s">
        <v>451</v>
      </c>
      <c r="E32" t="s">
        <v>872</v>
      </c>
      <c r="F32" s="1" t="s">
        <v>627</v>
      </c>
      <c r="G32" s="6">
        <v>45800</v>
      </c>
      <c r="H32" s="22" t="s">
        <v>659</v>
      </c>
      <c r="I32" s="6">
        <v>45993</v>
      </c>
      <c r="J32" s="22" t="s">
        <v>408</v>
      </c>
      <c r="K32" s="6">
        <f t="shared" si="1"/>
        <v>46173</v>
      </c>
      <c r="M32" s="6">
        <f t="shared" si="0"/>
        <v>46173</v>
      </c>
    </row>
    <row r="33" spans="1:13" x14ac:dyDescent="0.3">
      <c r="A33">
        <v>247</v>
      </c>
      <c r="B33" t="s">
        <v>389</v>
      </c>
      <c r="C33" t="s">
        <v>548</v>
      </c>
      <c r="D33" t="s">
        <v>460</v>
      </c>
      <c r="E33" t="s">
        <v>881</v>
      </c>
      <c r="F33" s="1" t="s">
        <v>655</v>
      </c>
      <c r="G33" s="6">
        <v>45635</v>
      </c>
      <c r="H33" s="22" t="s">
        <v>659</v>
      </c>
      <c r="I33" s="6">
        <v>45890</v>
      </c>
      <c r="J33" s="22" t="s">
        <v>659</v>
      </c>
      <c r="K33" s="6">
        <f t="shared" si="1"/>
        <v>46070</v>
      </c>
      <c r="M33" s="6">
        <f t="shared" si="0"/>
        <v>46070</v>
      </c>
    </row>
    <row r="34" spans="1:13" x14ac:dyDescent="0.3">
      <c r="A34">
        <v>239</v>
      </c>
      <c r="B34" t="s">
        <v>388</v>
      </c>
      <c r="C34" t="s">
        <v>545</v>
      </c>
      <c r="D34" t="s">
        <v>453</v>
      </c>
      <c r="E34" t="e">
        <v>#N/A</v>
      </c>
      <c r="F34" s="1" t="s">
        <v>653</v>
      </c>
      <c r="G34" s="6">
        <v>45813</v>
      </c>
      <c r="H34" s="22" t="s">
        <v>408</v>
      </c>
      <c r="I34" s="6">
        <v>46034</v>
      </c>
      <c r="J34" s="22" t="s">
        <v>408</v>
      </c>
      <c r="K34" s="6">
        <f t="shared" si="1"/>
        <v>46214</v>
      </c>
      <c r="M34" s="6">
        <f t="shared" si="0"/>
        <v>46214</v>
      </c>
    </row>
    <row r="35" spans="1:13" x14ac:dyDescent="0.3">
      <c r="A35">
        <v>264</v>
      </c>
      <c r="B35" t="s">
        <v>389</v>
      </c>
      <c r="C35" t="s">
        <v>556</v>
      </c>
      <c r="D35" t="s">
        <v>476</v>
      </c>
      <c r="E35" t="s">
        <v>893</v>
      </c>
      <c r="F35" s="1" t="s">
        <v>628</v>
      </c>
      <c r="G35" s="6">
        <v>45810</v>
      </c>
      <c r="H35" s="22" t="s">
        <v>659</v>
      </c>
      <c r="I35" s="6">
        <v>46074</v>
      </c>
      <c r="J35" s="22" t="s">
        <v>408</v>
      </c>
      <c r="K35" s="6">
        <f t="shared" si="1"/>
        <v>46254</v>
      </c>
      <c r="M35" s="6">
        <f t="shared" si="0"/>
        <v>46254</v>
      </c>
    </row>
    <row r="36" spans="1:13" x14ac:dyDescent="0.3">
      <c r="A36">
        <v>220</v>
      </c>
      <c r="B36" t="s">
        <v>388</v>
      </c>
      <c r="C36" t="s">
        <v>537</v>
      </c>
      <c r="D36" t="s">
        <v>435</v>
      </c>
      <c r="E36" t="s">
        <v>857</v>
      </c>
      <c r="F36" s="1" t="s">
        <v>650</v>
      </c>
      <c r="H36" s="16"/>
      <c r="I36" s="6">
        <f>G36+$O$1</f>
        <v>180</v>
      </c>
      <c r="J36" s="16"/>
      <c r="K36" s="6">
        <f t="shared" si="1"/>
        <v>360</v>
      </c>
      <c r="M36" s="6">
        <f t="shared" si="0"/>
        <v>0</v>
      </c>
    </row>
    <row r="37" spans="1:13" x14ac:dyDescent="0.3">
      <c r="A37">
        <v>226</v>
      </c>
      <c r="B37" t="s">
        <v>389</v>
      </c>
      <c r="C37" t="s">
        <v>540</v>
      </c>
      <c r="D37" t="s">
        <v>441</v>
      </c>
      <c r="E37" t="s">
        <v>863</v>
      </c>
      <c r="F37" s="1" t="s">
        <v>615</v>
      </c>
      <c r="G37" s="6">
        <v>45831</v>
      </c>
      <c r="H37" s="22" t="s">
        <v>659</v>
      </c>
      <c r="I37" s="6">
        <v>45945</v>
      </c>
      <c r="J37" s="22" t="s">
        <v>408</v>
      </c>
      <c r="K37" s="6">
        <f t="shared" si="1"/>
        <v>46125</v>
      </c>
      <c r="M37" s="6">
        <f t="shared" si="0"/>
        <v>46125</v>
      </c>
    </row>
    <row r="38" spans="1:13" x14ac:dyDescent="0.3">
      <c r="A38">
        <v>208</v>
      </c>
      <c r="B38" t="s">
        <v>388</v>
      </c>
      <c r="C38" t="s">
        <v>358</v>
      </c>
      <c r="D38" t="s">
        <v>198</v>
      </c>
      <c r="E38" t="s">
        <v>846</v>
      </c>
      <c r="F38" s="1" t="s">
        <v>648</v>
      </c>
      <c r="G38" s="6">
        <v>45694</v>
      </c>
      <c r="H38" s="22" t="s">
        <v>659</v>
      </c>
      <c r="I38" s="6">
        <v>45891</v>
      </c>
      <c r="J38" s="22" t="s">
        <v>408</v>
      </c>
      <c r="K38" s="6">
        <f t="shared" si="1"/>
        <v>46071</v>
      </c>
      <c r="M38" s="6">
        <f t="shared" si="0"/>
        <v>46071</v>
      </c>
    </row>
    <row r="39" spans="1:13" x14ac:dyDescent="0.3">
      <c r="A39">
        <v>195</v>
      </c>
      <c r="B39" t="s">
        <v>389</v>
      </c>
      <c r="C39" t="s">
        <v>357</v>
      </c>
      <c r="D39" t="s">
        <v>197</v>
      </c>
      <c r="E39" t="s">
        <v>833</v>
      </c>
      <c r="F39" s="1" t="s">
        <v>627</v>
      </c>
      <c r="G39" s="6">
        <v>45831</v>
      </c>
      <c r="H39" s="22" t="s">
        <v>659</v>
      </c>
      <c r="I39" s="6">
        <v>45987</v>
      </c>
      <c r="J39" s="22" t="s">
        <v>408</v>
      </c>
      <c r="K39" s="6">
        <f t="shared" si="1"/>
        <v>46167</v>
      </c>
      <c r="M39" s="6">
        <f t="shared" si="0"/>
        <v>46167</v>
      </c>
    </row>
    <row r="40" spans="1:13" x14ac:dyDescent="0.3">
      <c r="A40">
        <v>199</v>
      </c>
      <c r="B40" t="s">
        <v>389</v>
      </c>
      <c r="C40" t="s">
        <v>353</v>
      </c>
      <c r="D40" t="s">
        <v>191</v>
      </c>
      <c r="E40" t="s">
        <v>837</v>
      </c>
      <c r="F40" s="1" t="s">
        <v>639</v>
      </c>
      <c r="H40" s="29" t="s">
        <v>1597</v>
      </c>
      <c r="I40" s="6">
        <f>G40+$O$1</f>
        <v>180</v>
      </c>
      <c r="J40" s="29"/>
      <c r="K40" s="6">
        <f t="shared" si="1"/>
        <v>360</v>
      </c>
      <c r="M40" s="6">
        <f t="shared" si="0"/>
        <v>0</v>
      </c>
    </row>
    <row r="41" spans="1:13" x14ac:dyDescent="0.3">
      <c r="A41">
        <v>200</v>
      </c>
      <c r="B41" t="s">
        <v>388</v>
      </c>
      <c r="C41" t="s">
        <v>352</v>
      </c>
      <c r="D41" t="s">
        <v>189</v>
      </c>
      <c r="E41" t="s">
        <v>838</v>
      </c>
      <c r="F41" s="1" t="s">
        <v>610</v>
      </c>
      <c r="G41" s="6">
        <v>45754</v>
      </c>
      <c r="H41" s="22" t="s">
        <v>659</v>
      </c>
      <c r="I41" s="6">
        <v>45910</v>
      </c>
      <c r="J41" s="22" t="s">
        <v>408</v>
      </c>
      <c r="K41" s="6">
        <f t="shared" si="1"/>
        <v>46090</v>
      </c>
      <c r="M41" s="6">
        <f t="shared" si="0"/>
        <v>46090</v>
      </c>
    </row>
    <row r="42" spans="1:13" x14ac:dyDescent="0.3">
      <c r="A42">
        <v>212</v>
      </c>
      <c r="B42" t="s">
        <v>389</v>
      </c>
      <c r="C42" t="s">
        <v>354</v>
      </c>
      <c r="D42" t="s">
        <v>192</v>
      </c>
      <c r="E42" t="s">
        <v>850</v>
      </c>
      <c r="F42" s="1" t="s">
        <v>617</v>
      </c>
      <c r="G42" s="6">
        <v>45861</v>
      </c>
      <c r="H42" s="22" t="s">
        <v>659</v>
      </c>
      <c r="I42" s="6">
        <v>46090</v>
      </c>
      <c r="J42" s="22" t="s">
        <v>408</v>
      </c>
      <c r="K42" s="6">
        <f t="shared" si="1"/>
        <v>46270</v>
      </c>
      <c r="M42" s="6">
        <f t="shared" si="0"/>
        <v>46270</v>
      </c>
    </row>
    <row r="43" spans="1:13" x14ac:dyDescent="0.3">
      <c r="A43">
        <v>240</v>
      </c>
      <c r="B43" t="s">
        <v>389</v>
      </c>
      <c r="C43" t="s">
        <v>546</v>
      </c>
      <c r="D43" t="s">
        <v>454</v>
      </c>
      <c r="E43" t="s">
        <v>874</v>
      </c>
      <c r="F43" s="1" t="s">
        <v>608</v>
      </c>
      <c r="G43" s="6">
        <v>45749</v>
      </c>
      <c r="H43" s="22" t="s">
        <v>659</v>
      </c>
      <c r="I43" s="6">
        <v>45901</v>
      </c>
      <c r="J43" s="22" t="s">
        <v>408</v>
      </c>
      <c r="K43" s="6">
        <f t="shared" si="1"/>
        <v>46081</v>
      </c>
      <c r="M43" s="6">
        <f t="shared" si="0"/>
        <v>46081</v>
      </c>
    </row>
    <row r="44" spans="1:13" x14ac:dyDescent="0.3">
      <c r="A44">
        <v>253</v>
      </c>
      <c r="B44" t="s">
        <v>389</v>
      </c>
      <c r="C44" t="s">
        <v>553</v>
      </c>
      <c r="D44" t="s">
        <v>466</v>
      </c>
      <c r="E44" t="e">
        <v>#N/A</v>
      </c>
      <c r="F44" s="1" t="s">
        <v>610</v>
      </c>
      <c r="G44" s="6">
        <v>45831</v>
      </c>
      <c r="H44" s="22" t="s">
        <v>408</v>
      </c>
      <c r="I44" s="6">
        <v>45980</v>
      </c>
      <c r="J44" s="22" t="s">
        <v>408</v>
      </c>
      <c r="K44" s="6">
        <f t="shared" si="1"/>
        <v>46160</v>
      </c>
      <c r="M44" s="6">
        <f t="shared" si="0"/>
        <v>46160</v>
      </c>
    </row>
    <row r="45" spans="1:13" x14ac:dyDescent="0.3">
      <c r="A45">
        <v>174</v>
      </c>
      <c r="B45" t="s">
        <v>388</v>
      </c>
      <c r="C45" t="s">
        <v>356</v>
      </c>
      <c r="D45" t="s">
        <v>194</v>
      </c>
      <c r="E45" t="s">
        <v>814</v>
      </c>
      <c r="F45" s="1" t="s">
        <v>617</v>
      </c>
      <c r="G45" s="6">
        <v>45855</v>
      </c>
      <c r="H45" s="22" t="s">
        <v>659</v>
      </c>
      <c r="I45" s="6">
        <v>46385</v>
      </c>
      <c r="J45" s="22" t="s">
        <v>408</v>
      </c>
      <c r="K45" s="6">
        <f t="shared" si="1"/>
        <v>46565</v>
      </c>
      <c r="M45" s="6">
        <f t="shared" si="0"/>
        <v>46565</v>
      </c>
    </row>
    <row r="46" spans="1:13" x14ac:dyDescent="0.3">
      <c r="A46">
        <v>205</v>
      </c>
      <c r="B46" t="s">
        <v>389</v>
      </c>
      <c r="C46" t="s">
        <v>351</v>
      </c>
      <c r="D46" t="s">
        <v>183</v>
      </c>
      <c r="E46" t="s">
        <v>843</v>
      </c>
      <c r="F46" s="1" t="s">
        <v>608</v>
      </c>
      <c r="G46" s="6">
        <v>45848</v>
      </c>
      <c r="H46" s="22" t="s">
        <v>659</v>
      </c>
      <c r="I46" s="6">
        <v>46378</v>
      </c>
      <c r="J46" s="22" t="s">
        <v>408</v>
      </c>
      <c r="K46" s="6">
        <f t="shared" si="1"/>
        <v>46558</v>
      </c>
      <c r="M46" s="6">
        <f t="shared" si="0"/>
        <v>46558</v>
      </c>
    </row>
    <row r="47" spans="1:13" x14ac:dyDescent="0.3">
      <c r="A47">
        <v>303</v>
      </c>
      <c r="B47" t="s">
        <v>389</v>
      </c>
      <c r="C47" t="s">
        <v>582</v>
      </c>
      <c r="D47" t="s">
        <v>515</v>
      </c>
      <c r="E47" t="s">
        <v>920</v>
      </c>
      <c r="F47" s="1" t="s">
        <v>639</v>
      </c>
      <c r="G47" s="6">
        <v>45800</v>
      </c>
      <c r="H47" s="22" t="s">
        <v>659</v>
      </c>
      <c r="I47" s="6">
        <v>46354</v>
      </c>
      <c r="J47" s="22" t="s">
        <v>408</v>
      </c>
      <c r="K47" s="6">
        <f t="shared" si="1"/>
        <v>46534</v>
      </c>
      <c r="M47" s="6">
        <f t="shared" si="0"/>
        <v>46534</v>
      </c>
    </row>
    <row r="48" spans="1:13" x14ac:dyDescent="0.3">
      <c r="A48">
        <v>172</v>
      </c>
      <c r="B48" t="s">
        <v>388</v>
      </c>
      <c r="C48" t="s">
        <v>349</v>
      </c>
      <c r="D48" t="s">
        <v>181</v>
      </c>
      <c r="E48" t="s">
        <v>812</v>
      </c>
      <c r="F48" s="1" t="s">
        <v>617</v>
      </c>
      <c r="G48" s="6">
        <v>45794</v>
      </c>
      <c r="H48" s="22" t="s">
        <v>659</v>
      </c>
      <c r="I48" s="6">
        <v>46365</v>
      </c>
      <c r="J48" s="22" t="s">
        <v>408</v>
      </c>
      <c r="K48" s="6">
        <f t="shared" si="1"/>
        <v>46545</v>
      </c>
      <c r="M48" s="6">
        <f t="shared" si="0"/>
        <v>46545</v>
      </c>
    </row>
    <row r="49" spans="1:13" x14ac:dyDescent="0.3">
      <c r="A49">
        <v>184</v>
      </c>
      <c r="B49" t="s">
        <v>388</v>
      </c>
      <c r="C49" t="s">
        <v>350</v>
      </c>
      <c r="D49" t="s">
        <v>182</v>
      </c>
      <c r="E49" t="s">
        <v>822</v>
      </c>
      <c r="F49" s="1" t="s">
        <v>614</v>
      </c>
      <c r="G49" s="6">
        <v>45625</v>
      </c>
      <c r="H49" s="22" t="s">
        <v>659</v>
      </c>
      <c r="I49" s="6">
        <v>45862</v>
      </c>
      <c r="J49" s="22" t="s">
        <v>408</v>
      </c>
      <c r="K49" s="6">
        <f t="shared" si="1"/>
        <v>46042</v>
      </c>
      <c r="M49" s="6">
        <f t="shared" si="0"/>
        <v>46042</v>
      </c>
    </row>
    <row r="50" spans="1:13" x14ac:dyDescent="0.3">
      <c r="A50">
        <v>281</v>
      </c>
      <c r="B50" t="s">
        <v>389</v>
      </c>
      <c r="C50" t="s">
        <v>568</v>
      </c>
      <c r="D50" t="s">
        <v>493</v>
      </c>
      <c r="E50" t="s">
        <v>906</v>
      </c>
      <c r="F50" s="1" t="s">
        <v>608</v>
      </c>
      <c r="G50" s="6">
        <v>45821</v>
      </c>
      <c r="H50" s="22" t="s">
        <v>659</v>
      </c>
      <c r="I50" s="6">
        <v>45908</v>
      </c>
      <c r="J50" s="22" t="s">
        <v>408</v>
      </c>
      <c r="K50" s="6">
        <f t="shared" si="1"/>
        <v>46088</v>
      </c>
      <c r="M50" s="6">
        <f t="shared" si="0"/>
        <v>46088</v>
      </c>
    </row>
    <row r="51" spans="1:13" x14ac:dyDescent="0.3">
      <c r="A51">
        <v>313</v>
      </c>
      <c r="B51" t="s">
        <v>389</v>
      </c>
      <c r="C51" t="s">
        <v>590</v>
      </c>
      <c r="D51" t="s">
        <v>525</v>
      </c>
      <c r="E51" t="s">
        <v>658</v>
      </c>
      <c r="F51" s="1" t="s">
        <v>658</v>
      </c>
      <c r="G51" s="16">
        <v>45796</v>
      </c>
      <c r="H51" s="22" t="s">
        <v>659</v>
      </c>
      <c r="I51" s="6">
        <v>45898</v>
      </c>
      <c r="J51" s="22" t="s">
        <v>408</v>
      </c>
      <c r="K51" s="6">
        <f t="shared" si="1"/>
        <v>46078</v>
      </c>
      <c r="M51" s="6">
        <f t="shared" si="0"/>
        <v>46078</v>
      </c>
    </row>
    <row r="52" spans="1:13" x14ac:dyDescent="0.3">
      <c r="A52">
        <v>225</v>
      </c>
      <c r="B52" t="s">
        <v>389</v>
      </c>
      <c r="C52" t="s">
        <v>539</v>
      </c>
      <c r="D52" t="s">
        <v>440</v>
      </c>
      <c r="E52" t="s">
        <v>862</v>
      </c>
      <c r="F52" s="1" t="s">
        <v>651</v>
      </c>
      <c r="G52" s="6">
        <v>45839</v>
      </c>
      <c r="H52" s="22" t="s">
        <v>408</v>
      </c>
      <c r="I52" s="6">
        <f>G52+$O$1</f>
        <v>46019</v>
      </c>
      <c r="J52" s="22" t="s">
        <v>408</v>
      </c>
      <c r="K52" s="6">
        <f t="shared" si="1"/>
        <v>46199</v>
      </c>
      <c r="M52" s="6">
        <f t="shared" si="0"/>
        <v>46199</v>
      </c>
    </row>
    <row r="53" spans="1:13" x14ac:dyDescent="0.3">
      <c r="A53">
        <v>171</v>
      </c>
      <c r="B53" t="s">
        <v>388</v>
      </c>
      <c r="C53" t="s">
        <v>346</v>
      </c>
      <c r="D53" t="s">
        <v>175</v>
      </c>
      <c r="E53" t="s">
        <v>811</v>
      </c>
      <c r="F53" s="1" t="s">
        <v>610</v>
      </c>
      <c r="G53" s="6">
        <v>45819</v>
      </c>
      <c r="H53" s="22" t="s">
        <v>659</v>
      </c>
      <c r="I53" s="6">
        <f>G53+$O$1</f>
        <v>45999</v>
      </c>
      <c r="J53" s="26" t="s">
        <v>964</v>
      </c>
      <c r="K53" s="6">
        <f t="shared" si="1"/>
        <v>46179</v>
      </c>
      <c r="M53" s="6">
        <f t="shared" si="0"/>
        <v>45999</v>
      </c>
    </row>
    <row r="54" spans="1:13" x14ac:dyDescent="0.3">
      <c r="A54">
        <v>279</v>
      </c>
      <c r="B54" t="s">
        <v>957</v>
      </c>
      <c r="C54" t="s">
        <v>566</v>
      </c>
      <c r="D54" t="s">
        <v>491</v>
      </c>
      <c r="E54" t="e">
        <v>#N/A</v>
      </c>
      <c r="F54" s="1" t="s">
        <v>613</v>
      </c>
      <c r="G54" s="6">
        <v>45962</v>
      </c>
      <c r="H54" s="22" t="s">
        <v>408</v>
      </c>
      <c r="I54" s="6">
        <f>G54+$O$1</f>
        <v>46142</v>
      </c>
      <c r="K54" s="6">
        <f t="shared" si="1"/>
        <v>46322</v>
      </c>
      <c r="M54" s="6">
        <f t="shared" si="0"/>
        <v>46142</v>
      </c>
    </row>
    <row r="55" spans="1:13" x14ac:dyDescent="0.3">
      <c r="A55">
        <v>288</v>
      </c>
      <c r="B55" t="s">
        <v>341</v>
      </c>
      <c r="C55" t="s">
        <v>573</v>
      </c>
      <c r="D55" t="s">
        <v>500</v>
      </c>
      <c r="E55" t="e">
        <v>#N/A</v>
      </c>
      <c r="F55" s="1" t="s">
        <v>657</v>
      </c>
      <c r="G55" s="16">
        <v>45676</v>
      </c>
      <c r="H55" s="22" t="s">
        <v>659</v>
      </c>
      <c r="I55" s="6">
        <v>45865</v>
      </c>
      <c r="J55" s="22" t="s">
        <v>408</v>
      </c>
      <c r="K55" s="6">
        <f t="shared" si="1"/>
        <v>46045</v>
      </c>
      <c r="M55" s="6">
        <f t="shared" si="0"/>
        <v>46045</v>
      </c>
    </row>
    <row r="56" spans="1:13" x14ac:dyDescent="0.3">
      <c r="A56">
        <v>294</v>
      </c>
      <c r="B56" t="s">
        <v>341</v>
      </c>
      <c r="C56" t="s">
        <v>576</v>
      </c>
      <c r="D56" t="s">
        <v>506</v>
      </c>
      <c r="E56" t="e">
        <v>#N/A</v>
      </c>
      <c r="F56" s="1" t="s">
        <v>611</v>
      </c>
      <c r="G56" s="16">
        <v>45705</v>
      </c>
      <c r="H56" s="22" t="s">
        <v>659</v>
      </c>
      <c r="I56" s="6">
        <v>45812</v>
      </c>
      <c r="J56" s="22" t="s">
        <v>408</v>
      </c>
      <c r="K56" s="6">
        <f t="shared" si="1"/>
        <v>45992</v>
      </c>
      <c r="M56" s="6">
        <f t="shared" si="0"/>
        <v>45992</v>
      </c>
    </row>
    <row r="57" spans="1:13" x14ac:dyDescent="0.3">
      <c r="A57">
        <v>304</v>
      </c>
      <c r="B57" t="s">
        <v>341</v>
      </c>
      <c r="C57" t="s">
        <v>583</v>
      </c>
      <c r="D57" t="s">
        <v>516</v>
      </c>
      <c r="E57" t="e">
        <v>#N/A</v>
      </c>
      <c r="F57" s="1" t="s">
        <v>611</v>
      </c>
      <c r="G57" s="16">
        <v>45744</v>
      </c>
      <c r="H57" s="22" t="s">
        <v>659</v>
      </c>
      <c r="I57" s="6">
        <v>45902</v>
      </c>
      <c r="J57" s="22" t="s">
        <v>408</v>
      </c>
      <c r="K57" s="6">
        <f t="shared" si="1"/>
        <v>46082</v>
      </c>
      <c r="M57" s="6">
        <f t="shared" si="0"/>
        <v>46082</v>
      </c>
    </row>
    <row r="58" spans="1:13" x14ac:dyDescent="0.3">
      <c r="A58">
        <v>166</v>
      </c>
      <c r="B58" t="s">
        <v>341</v>
      </c>
      <c r="C58" s="18" t="s">
        <v>933</v>
      </c>
      <c r="D58" s="18" t="s">
        <v>187</v>
      </c>
      <c r="E58" t="s">
        <v>806</v>
      </c>
      <c r="F58" s="21" t="s">
        <v>608</v>
      </c>
      <c r="I58" s="6">
        <f t="shared" ref="I58:I64" si="2">G58+$O$1</f>
        <v>180</v>
      </c>
      <c r="K58" s="6">
        <f t="shared" si="1"/>
        <v>360</v>
      </c>
      <c r="M58" s="6">
        <f t="shared" si="0"/>
        <v>0</v>
      </c>
    </row>
    <row r="59" spans="1:13" x14ac:dyDescent="0.3">
      <c r="A59">
        <v>95</v>
      </c>
      <c r="B59" t="s">
        <v>341</v>
      </c>
      <c r="C59" t="s">
        <v>341</v>
      </c>
      <c r="D59" t="s">
        <v>146</v>
      </c>
      <c r="E59" t="s">
        <v>742</v>
      </c>
      <c r="F59" s="1" t="s">
        <v>608</v>
      </c>
      <c r="G59" s="6">
        <v>45836</v>
      </c>
      <c r="H59" s="22" t="s">
        <v>659</v>
      </c>
      <c r="I59" s="6">
        <v>46093</v>
      </c>
      <c r="J59" s="22" t="s">
        <v>1604</v>
      </c>
      <c r="K59" s="6">
        <f t="shared" si="1"/>
        <v>46273</v>
      </c>
      <c r="M59" s="6">
        <f t="shared" si="0"/>
        <v>46273</v>
      </c>
    </row>
    <row r="60" spans="1:13" x14ac:dyDescent="0.3">
      <c r="A60">
        <v>168</v>
      </c>
      <c r="B60" t="s">
        <v>341</v>
      </c>
      <c r="C60" t="s">
        <v>341</v>
      </c>
      <c r="D60" t="s">
        <v>185</v>
      </c>
      <c r="E60" t="s">
        <v>808</v>
      </c>
      <c r="F60" s="1" t="s">
        <v>608</v>
      </c>
      <c r="G60" s="6">
        <v>45858</v>
      </c>
      <c r="H60" s="22" t="s">
        <v>659</v>
      </c>
      <c r="I60" s="6">
        <v>46379</v>
      </c>
      <c r="J60" s="22" t="s">
        <v>408</v>
      </c>
      <c r="K60" s="6">
        <f t="shared" si="1"/>
        <v>46559</v>
      </c>
      <c r="M60" s="6">
        <f t="shared" si="0"/>
        <v>46559</v>
      </c>
    </row>
    <row r="61" spans="1:13" x14ac:dyDescent="0.3">
      <c r="A61">
        <v>170</v>
      </c>
      <c r="B61" t="s">
        <v>341</v>
      </c>
      <c r="C61" t="s">
        <v>341</v>
      </c>
      <c r="D61" t="s">
        <v>186</v>
      </c>
      <c r="E61" t="s">
        <v>810</v>
      </c>
      <c r="F61" s="1" t="s">
        <v>632</v>
      </c>
      <c r="G61" s="6">
        <v>45856</v>
      </c>
      <c r="H61" s="22" t="s">
        <v>659</v>
      </c>
      <c r="I61" s="6">
        <v>46040</v>
      </c>
      <c r="J61" s="22" t="s">
        <v>408</v>
      </c>
      <c r="K61" s="6">
        <f t="shared" si="1"/>
        <v>46220</v>
      </c>
      <c r="M61" s="6">
        <f t="shared" si="0"/>
        <v>46220</v>
      </c>
    </row>
    <row r="62" spans="1:13" x14ac:dyDescent="0.3">
      <c r="A62">
        <v>178</v>
      </c>
      <c r="B62" t="s">
        <v>341</v>
      </c>
      <c r="C62" t="s">
        <v>341</v>
      </c>
      <c r="D62" t="s">
        <v>190</v>
      </c>
      <c r="E62" t="s">
        <v>818</v>
      </c>
      <c r="F62" s="1" t="s">
        <v>608</v>
      </c>
      <c r="G62" s="6">
        <v>45842</v>
      </c>
      <c r="H62" s="22" t="s">
        <v>659</v>
      </c>
      <c r="I62" s="6">
        <f t="shared" si="2"/>
        <v>46022</v>
      </c>
      <c r="J62" s="26" t="s">
        <v>960</v>
      </c>
      <c r="K62" s="6">
        <f t="shared" si="1"/>
        <v>46202</v>
      </c>
      <c r="M62" s="6">
        <f t="shared" si="0"/>
        <v>46022</v>
      </c>
    </row>
    <row r="63" spans="1:13" x14ac:dyDescent="0.3">
      <c r="A63">
        <v>179</v>
      </c>
      <c r="B63" t="s">
        <v>341</v>
      </c>
      <c r="C63" t="s">
        <v>341</v>
      </c>
      <c r="D63" t="s">
        <v>190</v>
      </c>
      <c r="E63" t="s">
        <v>818</v>
      </c>
      <c r="F63" s="1" t="s">
        <v>608</v>
      </c>
      <c r="G63" s="6">
        <v>45842</v>
      </c>
      <c r="H63" s="22" t="s">
        <v>659</v>
      </c>
      <c r="I63" s="6">
        <f t="shared" si="2"/>
        <v>46022</v>
      </c>
      <c r="J63" s="26" t="s">
        <v>960</v>
      </c>
      <c r="K63" s="6">
        <f t="shared" si="1"/>
        <v>46202</v>
      </c>
      <c r="M63" s="6">
        <f t="shared" si="0"/>
        <v>46022</v>
      </c>
    </row>
    <row r="64" spans="1:13" x14ac:dyDescent="0.3">
      <c r="A64">
        <v>180</v>
      </c>
      <c r="B64" t="s">
        <v>341</v>
      </c>
      <c r="C64" t="s">
        <v>341</v>
      </c>
      <c r="D64" t="s">
        <v>190</v>
      </c>
      <c r="E64" t="s">
        <v>818</v>
      </c>
      <c r="F64" s="1" t="s">
        <v>608</v>
      </c>
      <c r="G64" s="6">
        <v>45842</v>
      </c>
      <c r="H64" s="22" t="s">
        <v>659</v>
      </c>
      <c r="I64" s="6">
        <f t="shared" si="2"/>
        <v>46022</v>
      </c>
      <c r="J64" s="26" t="s">
        <v>960</v>
      </c>
      <c r="K64" s="6">
        <f t="shared" si="1"/>
        <v>46202</v>
      </c>
      <c r="M64" s="6">
        <f t="shared" si="0"/>
        <v>46022</v>
      </c>
    </row>
    <row r="65" spans="1:13" x14ac:dyDescent="0.3">
      <c r="A65">
        <v>185</v>
      </c>
      <c r="B65" t="s">
        <v>341</v>
      </c>
      <c r="C65" t="s">
        <v>341</v>
      </c>
      <c r="D65" t="s">
        <v>195</v>
      </c>
      <c r="E65" t="s">
        <v>823</v>
      </c>
      <c r="F65" s="1" t="s">
        <v>617</v>
      </c>
      <c r="G65" s="6">
        <v>45740</v>
      </c>
      <c r="H65" s="22" t="s">
        <v>659</v>
      </c>
      <c r="I65" s="6">
        <v>45943</v>
      </c>
      <c r="J65" s="22" t="s">
        <v>408</v>
      </c>
      <c r="K65" s="6">
        <f t="shared" si="1"/>
        <v>46123</v>
      </c>
      <c r="M65" s="6">
        <f t="shared" si="0"/>
        <v>46123</v>
      </c>
    </row>
    <row r="66" spans="1:13" x14ac:dyDescent="0.3">
      <c r="A66">
        <v>190</v>
      </c>
      <c r="B66" t="s">
        <v>341</v>
      </c>
      <c r="C66" t="s">
        <v>341</v>
      </c>
      <c r="D66" t="s">
        <v>196</v>
      </c>
      <c r="E66" t="s">
        <v>828</v>
      </c>
      <c r="F66" s="1" t="s">
        <v>608</v>
      </c>
      <c r="G66" s="6">
        <v>45795</v>
      </c>
      <c r="H66" s="22" t="s">
        <v>659</v>
      </c>
      <c r="I66" s="6">
        <f>G66+$O$1</f>
        <v>45975</v>
      </c>
      <c r="J66" s="26" t="s">
        <v>1628</v>
      </c>
      <c r="K66" s="6">
        <f t="shared" si="1"/>
        <v>46155</v>
      </c>
      <c r="M66" s="6">
        <f t="shared" si="0"/>
        <v>45975</v>
      </c>
    </row>
    <row r="67" spans="1:13" x14ac:dyDescent="0.3">
      <c r="A67">
        <v>191</v>
      </c>
      <c r="B67" t="s">
        <v>341</v>
      </c>
      <c r="C67" t="s">
        <v>341</v>
      </c>
      <c r="D67" t="s">
        <v>202</v>
      </c>
      <c r="E67" t="s">
        <v>829</v>
      </c>
      <c r="F67" s="1" t="s">
        <v>610</v>
      </c>
      <c r="G67" s="6">
        <v>45607</v>
      </c>
      <c r="H67" s="29" t="s">
        <v>659</v>
      </c>
      <c r="I67" s="6">
        <f>G67+$O$1</f>
        <v>45787</v>
      </c>
      <c r="K67" s="6">
        <f t="shared" ref="K67:K130" si="3">I67+$O$1</f>
        <v>45967</v>
      </c>
      <c r="M67" s="6">
        <f t="shared" ref="M67:M130" si="4">IF(H67="Done",IF(J67="Done",IF(L67="Done","-",K67),I67),G67)</f>
        <v>45787</v>
      </c>
    </row>
    <row r="68" spans="1:13" x14ac:dyDescent="0.3">
      <c r="A68">
        <v>194</v>
      </c>
      <c r="B68" t="s">
        <v>341</v>
      </c>
      <c r="C68" t="s">
        <v>341</v>
      </c>
      <c r="D68" t="s">
        <v>199</v>
      </c>
      <c r="E68" t="s">
        <v>832</v>
      </c>
      <c r="F68" s="1" t="s">
        <v>610</v>
      </c>
      <c r="G68" s="28"/>
      <c r="H68" s="28"/>
      <c r="I68" s="6">
        <f>G68+$O$1</f>
        <v>180</v>
      </c>
      <c r="K68" s="6">
        <f t="shared" si="3"/>
        <v>360</v>
      </c>
      <c r="M68" s="6">
        <f t="shared" si="4"/>
        <v>0</v>
      </c>
    </row>
    <row r="69" spans="1:13" ht="28.8" x14ac:dyDescent="0.3">
      <c r="A69">
        <v>197</v>
      </c>
      <c r="B69" t="s">
        <v>341</v>
      </c>
      <c r="C69" t="s">
        <v>341</v>
      </c>
      <c r="D69" t="s">
        <v>203</v>
      </c>
      <c r="E69" s="27" t="s">
        <v>835</v>
      </c>
      <c r="F69" s="1" t="s">
        <v>617</v>
      </c>
      <c r="G69" s="6">
        <v>45760</v>
      </c>
      <c r="H69" s="22" t="s">
        <v>659</v>
      </c>
      <c r="I69" s="6">
        <v>45887</v>
      </c>
      <c r="J69" s="22" t="s">
        <v>408</v>
      </c>
      <c r="K69" s="6">
        <f t="shared" si="3"/>
        <v>46067</v>
      </c>
      <c r="M69" s="6">
        <f t="shared" si="4"/>
        <v>46067</v>
      </c>
    </row>
    <row r="70" spans="1:13" x14ac:dyDescent="0.3">
      <c r="A70">
        <v>203</v>
      </c>
      <c r="B70" t="s">
        <v>341</v>
      </c>
      <c r="C70" t="s">
        <v>341</v>
      </c>
      <c r="D70" t="s">
        <v>204</v>
      </c>
      <c r="E70" t="s">
        <v>841</v>
      </c>
      <c r="F70" s="1" t="s">
        <v>610</v>
      </c>
      <c r="G70" s="6">
        <v>45759</v>
      </c>
      <c r="H70" s="22" t="s">
        <v>659</v>
      </c>
      <c r="I70" s="6">
        <v>45960</v>
      </c>
      <c r="J70" s="22" t="s">
        <v>659</v>
      </c>
      <c r="K70" s="6">
        <f t="shared" si="3"/>
        <v>46140</v>
      </c>
      <c r="M70" s="6">
        <f t="shared" si="4"/>
        <v>46140</v>
      </c>
    </row>
    <row r="71" spans="1:13" x14ac:dyDescent="0.3">
      <c r="A71">
        <v>206</v>
      </c>
      <c r="B71" t="s">
        <v>341</v>
      </c>
      <c r="C71" t="s">
        <v>341</v>
      </c>
      <c r="D71" t="s">
        <v>205</v>
      </c>
      <c r="E71" t="s">
        <v>844</v>
      </c>
      <c r="F71" s="1" t="s">
        <v>618</v>
      </c>
      <c r="G71" s="6">
        <v>45767</v>
      </c>
      <c r="H71" s="22" t="s">
        <v>659</v>
      </c>
      <c r="I71" s="6">
        <v>45989</v>
      </c>
      <c r="J71" s="22" t="s">
        <v>408</v>
      </c>
      <c r="K71" s="6">
        <f t="shared" si="3"/>
        <v>46169</v>
      </c>
      <c r="M71" s="6">
        <f t="shared" si="4"/>
        <v>46169</v>
      </c>
    </row>
    <row r="72" spans="1:13" x14ac:dyDescent="0.3">
      <c r="A72">
        <v>207</v>
      </c>
      <c r="B72" t="s">
        <v>341</v>
      </c>
      <c r="C72" t="s">
        <v>341</v>
      </c>
      <c r="D72" t="s">
        <v>206</v>
      </c>
      <c r="E72" t="s">
        <v>845</v>
      </c>
      <c r="F72" s="1" t="s">
        <v>608</v>
      </c>
      <c r="G72" s="6">
        <v>45889</v>
      </c>
      <c r="H72" s="22" t="s">
        <v>659</v>
      </c>
      <c r="I72" s="6">
        <v>46082</v>
      </c>
      <c r="J72" s="22" t="s">
        <v>408</v>
      </c>
      <c r="K72" s="6">
        <f t="shared" si="3"/>
        <v>46262</v>
      </c>
      <c r="M72" s="6">
        <f t="shared" si="4"/>
        <v>46262</v>
      </c>
    </row>
    <row r="73" spans="1:13" x14ac:dyDescent="0.3">
      <c r="A73">
        <v>213</v>
      </c>
      <c r="B73" t="s">
        <v>341</v>
      </c>
      <c r="C73" t="s">
        <v>341</v>
      </c>
      <c r="D73" t="s">
        <v>170</v>
      </c>
      <c r="E73" t="s">
        <v>851</v>
      </c>
      <c r="F73" s="1" t="s">
        <v>615</v>
      </c>
      <c r="G73" s="29"/>
      <c r="H73" s="29"/>
      <c r="I73" s="6">
        <f>G73+$O$1</f>
        <v>180</v>
      </c>
      <c r="K73" s="6">
        <f t="shared" si="3"/>
        <v>360</v>
      </c>
      <c r="M73" s="6">
        <f t="shared" si="4"/>
        <v>0</v>
      </c>
    </row>
    <row r="74" spans="1:13" x14ac:dyDescent="0.3">
      <c r="A74">
        <v>214</v>
      </c>
      <c r="B74" t="s">
        <v>341</v>
      </c>
      <c r="C74" t="s">
        <v>341</v>
      </c>
      <c r="D74" t="s">
        <v>429</v>
      </c>
      <c r="E74" t="s">
        <v>852</v>
      </c>
      <c r="F74" s="1" t="s">
        <v>613</v>
      </c>
      <c r="G74" s="6">
        <v>45627</v>
      </c>
      <c r="H74" s="26" t="s">
        <v>659</v>
      </c>
      <c r="I74" s="6">
        <f>G74+$O$1</f>
        <v>45807</v>
      </c>
      <c r="J74" s="16" t="s">
        <v>1602</v>
      </c>
      <c r="K74" s="6">
        <f t="shared" si="3"/>
        <v>45987</v>
      </c>
      <c r="M74" s="6">
        <f t="shared" si="4"/>
        <v>45807</v>
      </c>
    </row>
    <row r="75" spans="1:13" x14ac:dyDescent="0.3">
      <c r="A75">
        <v>215</v>
      </c>
      <c r="B75" t="s">
        <v>341</v>
      </c>
      <c r="C75" t="s">
        <v>341</v>
      </c>
      <c r="D75" t="s">
        <v>430</v>
      </c>
      <c r="E75" t="s">
        <v>852</v>
      </c>
      <c r="F75" s="1" t="s">
        <v>613</v>
      </c>
      <c r="G75" s="6">
        <v>45627</v>
      </c>
      <c r="H75" s="26" t="s">
        <v>659</v>
      </c>
      <c r="I75" s="6">
        <f>G75+$O$1</f>
        <v>45807</v>
      </c>
      <c r="J75" s="16"/>
      <c r="K75" s="6">
        <f t="shared" si="3"/>
        <v>45987</v>
      </c>
      <c r="M75" s="6">
        <f t="shared" si="4"/>
        <v>45807</v>
      </c>
    </row>
    <row r="76" spans="1:13" x14ac:dyDescent="0.3">
      <c r="A76">
        <v>217</v>
      </c>
      <c r="B76" t="s">
        <v>341</v>
      </c>
      <c r="C76" t="s">
        <v>341</v>
      </c>
      <c r="D76" t="s">
        <v>432</v>
      </c>
      <c r="E76" t="s">
        <v>854</v>
      </c>
      <c r="F76" s="1" t="s">
        <v>627</v>
      </c>
      <c r="G76" s="6">
        <v>45658</v>
      </c>
      <c r="H76" s="22" t="s">
        <v>659</v>
      </c>
      <c r="I76" s="6">
        <v>45887</v>
      </c>
      <c r="J76" s="22" t="s">
        <v>659</v>
      </c>
      <c r="K76" s="6">
        <f t="shared" si="3"/>
        <v>46067</v>
      </c>
      <c r="M76" s="6">
        <f t="shared" si="4"/>
        <v>46067</v>
      </c>
    </row>
    <row r="77" spans="1:13" x14ac:dyDescent="0.3">
      <c r="A77">
        <v>218</v>
      </c>
      <c r="B77" t="s">
        <v>341</v>
      </c>
      <c r="C77" t="s">
        <v>341</v>
      </c>
      <c r="D77" t="s">
        <v>433</v>
      </c>
      <c r="E77" t="s">
        <v>855</v>
      </c>
      <c r="F77" s="1" t="s">
        <v>619</v>
      </c>
      <c r="I77" s="6">
        <f t="shared" ref="I77:I83" si="5">G77+$O$1</f>
        <v>180</v>
      </c>
      <c r="K77" s="6">
        <f t="shared" si="3"/>
        <v>360</v>
      </c>
      <c r="M77" s="6">
        <f t="shared" si="4"/>
        <v>0</v>
      </c>
    </row>
    <row r="78" spans="1:13" x14ac:dyDescent="0.3">
      <c r="A78">
        <v>223</v>
      </c>
      <c r="B78" t="s">
        <v>341</v>
      </c>
      <c r="C78" t="s">
        <v>341</v>
      </c>
      <c r="D78" t="s">
        <v>438</v>
      </c>
      <c r="E78" t="s">
        <v>860</v>
      </c>
      <c r="F78" s="1" t="s">
        <v>611</v>
      </c>
      <c r="G78" s="6">
        <v>45780</v>
      </c>
      <c r="H78" s="22" t="s">
        <v>659</v>
      </c>
      <c r="I78" s="6">
        <v>46036</v>
      </c>
      <c r="J78" s="22" t="s">
        <v>408</v>
      </c>
      <c r="K78" s="6">
        <f t="shared" si="3"/>
        <v>46216</v>
      </c>
      <c r="M78" s="6">
        <f t="shared" si="4"/>
        <v>46216</v>
      </c>
    </row>
    <row r="79" spans="1:13" x14ac:dyDescent="0.3">
      <c r="A79">
        <v>230</v>
      </c>
      <c r="B79" t="s">
        <v>341</v>
      </c>
      <c r="C79" t="s">
        <v>341</v>
      </c>
      <c r="D79" t="s">
        <v>445</v>
      </c>
      <c r="E79">
        <v>0</v>
      </c>
      <c r="F79" s="1" t="s">
        <v>652</v>
      </c>
      <c r="I79" s="6">
        <f t="shared" si="5"/>
        <v>180</v>
      </c>
      <c r="K79" s="6">
        <f t="shared" si="3"/>
        <v>360</v>
      </c>
      <c r="M79" s="6">
        <f t="shared" si="4"/>
        <v>0</v>
      </c>
    </row>
    <row r="80" spans="1:13" x14ac:dyDescent="0.3">
      <c r="A80">
        <v>243</v>
      </c>
      <c r="B80" t="s">
        <v>341</v>
      </c>
      <c r="C80" t="s">
        <v>341</v>
      </c>
      <c r="D80" t="s">
        <v>456</v>
      </c>
      <c r="E80" t="s">
        <v>877</v>
      </c>
      <c r="F80" s="1" t="s">
        <v>608</v>
      </c>
      <c r="G80" s="6">
        <v>45892</v>
      </c>
      <c r="H80" s="22" t="s">
        <v>408</v>
      </c>
      <c r="I80" s="6">
        <f t="shared" si="5"/>
        <v>46072</v>
      </c>
      <c r="J80" s="26"/>
      <c r="K80" s="6">
        <f t="shared" si="3"/>
        <v>46252</v>
      </c>
      <c r="M80" s="6">
        <f t="shared" si="4"/>
        <v>46072</v>
      </c>
    </row>
    <row r="81" spans="1:13" x14ac:dyDescent="0.3">
      <c r="A81">
        <v>248</v>
      </c>
      <c r="B81" t="s">
        <v>341</v>
      </c>
      <c r="C81" t="s">
        <v>341</v>
      </c>
      <c r="D81" t="s">
        <v>461</v>
      </c>
      <c r="E81" t="s">
        <v>882</v>
      </c>
      <c r="F81" s="1" t="s">
        <v>608</v>
      </c>
      <c r="G81" s="29"/>
      <c r="H81" s="29"/>
      <c r="I81" s="6">
        <f t="shared" si="5"/>
        <v>180</v>
      </c>
      <c r="K81" s="6">
        <f t="shared" si="3"/>
        <v>360</v>
      </c>
      <c r="M81" s="6">
        <f t="shared" si="4"/>
        <v>0</v>
      </c>
    </row>
    <row r="82" spans="1:13" x14ac:dyDescent="0.3">
      <c r="A82">
        <v>270</v>
      </c>
      <c r="B82" t="s">
        <v>341</v>
      </c>
      <c r="C82" t="s">
        <v>341</v>
      </c>
      <c r="D82" t="s">
        <v>482</v>
      </c>
      <c r="E82">
        <v>0</v>
      </c>
      <c r="F82" s="1" t="s">
        <v>617</v>
      </c>
      <c r="G82" s="6">
        <v>45826</v>
      </c>
      <c r="H82" s="22" t="s">
        <v>659</v>
      </c>
      <c r="I82" s="6">
        <f t="shared" si="5"/>
        <v>46006</v>
      </c>
      <c r="J82" s="22" t="s">
        <v>965</v>
      </c>
      <c r="K82" s="6">
        <f t="shared" si="3"/>
        <v>46186</v>
      </c>
      <c r="M82" s="6">
        <f t="shared" si="4"/>
        <v>46006</v>
      </c>
    </row>
    <row r="83" spans="1:13" x14ac:dyDescent="0.3">
      <c r="A83">
        <v>291</v>
      </c>
      <c r="B83" t="s">
        <v>341</v>
      </c>
      <c r="C83" t="s">
        <v>341</v>
      </c>
      <c r="D83" s="18" t="s">
        <v>503</v>
      </c>
      <c r="E83" t="e">
        <v>#N/A</v>
      </c>
      <c r="F83" s="21" t="s">
        <v>608</v>
      </c>
      <c r="G83" s="16">
        <v>45688</v>
      </c>
      <c r="H83" s="22" t="s">
        <v>659</v>
      </c>
      <c r="I83" s="6">
        <f t="shared" si="5"/>
        <v>45868</v>
      </c>
      <c r="J83" s="29"/>
      <c r="K83" s="6">
        <f t="shared" si="3"/>
        <v>46048</v>
      </c>
      <c r="M83" s="6">
        <f t="shared" si="4"/>
        <v>45868</v>
      </c>
    </row>
    <row r="84" spans="1:13" x14ac:dyDescent="0.3">
      <c r="A84">
        <v>161</v>
      </c>
      <c r="B84" t="s">
        <v>341</v>
      </c>
      <c r="C84" t="s">
        <v>348</v>
      </c>
      <c r="D84" t="s">
        <v>180</v>
      </c>
      <c r="E84" t="e">
        <v>#N/A</v>
      </c>
      <c r="F84" s="1" t="s">
        <v>620</v>
      </c>
      <c r="G84" s="6">
        <v>45812</v>
      </c>
      <c r="H84" s="22" t="s">
        <v>408</v>
      </c>
      <c r="I84" s="6">
        <v>45965</v>
      </c>
      <c r="J84" s="22" t="s">
        <v>408</v>
      </c>
      <c r="K84" s="6">
        <f t="shared" si="3"/>
        <v>46145</v>
      </c>
      <c r="M84" s="6">
        <f t="shared" si="4"/>
        <v>46145</v>
      </c>
    </row>
    <row r="85" spans="1:13" x14ac:dyDescent="0.3">
      <c r="A85">
        <v>232</v>
      </c>
      <c r="B85" t="s">
        <v>361</v>
      </c>
      <c r="C85" t="s">
        <v>542</v>
      </c>
      <c r="D85" t="s">
        <v>446</v>
      </c>
      <c r="E85" t="s">
        <v>867</v>
      </c>
      <c r="F85" s="1" t="s">
        <v>632</v>
      </c>
      <c r="G85" s="6">
        <v>45730</v>
      </c>
      <c r="H85" s="22" t="s">
        <v>659</v>
      </c>
      <c r="I85" s="6">
        <v>46087</v>
      </c>
      <c r="J85" s="22" t="s">
        <v>408</v>
      </c>
      <c r="K85" s="6">
        <f t="shared" si="3"/>
        <v>46267</v>
      </c>
      <c r="M85" s="6">
        <f t="shared" si="4"/>
        <v>46267</v>
      </c>
    </row>
    <row r="86" spans="1:13" x14ac:dyDescent="0.3">
      <c r="A86">
        <v>228</v>
      </c>
      <c r="B86" t="s">
        <v>361</v>
      </c>
      <c r="C86" t="s">
        <v>541</v>
      </c>
      <c r="D86" t="s">
        <v>443</v>
      </c>
      <c r="E86" t="s">
        <v>864</v>
      </c>
      <c r="F86" s="1" t="s">
        <v>641</v>
      </c>
      <c r="G86" s="6">
        <v>45605</v>
      </c>
      <c r="H86" s="26" t="s">
        <v>659</v>
      </c>
      <c r="I86" s="6">
        <f>G86+$O$1</f>
        <v>45785</v>
      </c>
      <c r="J86" s="26"/>
      <c r="K86" s="6">
        <f t="shared" si="3"/>
        <v>45965</v>
      </c>
      <c r="M86" s="6">
        <f t="shared" si="4"/>
        <v>45785</v>
      </c>
    </row>
    <row r="87" spans="1:13" x14ac:dyDescent="0.3">
      <c r="A87">
        <v>222</v>
      </c>
      <c r="B87" t="s">
        <v>361</v>
      </c>
      <c r="C87" t="s">
        <v>538</v>
      </c>
      <c r="D87" t="s">
        <v>437</v>
      </c>
      <c r="E87" t="s">
        <v>859</v>
      </c>
      <c r="F87" s="1" t="s">
        <v>627</v>
      </c>
      <c r="G87" s="6">
        <v>45779</v>
      </c>
      <c r="H87" s="22" t="s">
        <v>659</v>
      </c>
      <c r="I87" s="6">
        <f>G87+$O$1</f>
        <v>45959</v>
      </c>
      <c r="J87" s="26"/>
      <c r="K87" s="6">
        <f t="shared" si="3"/>
        <v>46139</v>
      </c>
      <c r="M87" s="6">
        <f t="shared" si="4"/>
        <v>45959</v>
      </c>
    </row>
    <row r="88" spans="1:13" x14ac:dyDescent="0.3">
      <c r="A88">
        <v>209</v>
      </c>
      <c r="B88" t="s">
        <v>361</v>
      </c>
      <c r="C88" t="s">
        <v>535</v>
      </c>
      <c r="D88" t="s">
        <v>201</v>
      </c>
      <c r="E88" t="s">
        <v>847</v>
      </c>
      <c r="F88" s="1" t="s">
        <v>608</v>
      </c>
      <c r="G88" s="6">
        <v>45832</v>
      </c>
      <c r="H88" s="22" t="s">
        <v>659</v>
      </c>
      <c r="I88" s="6">
        <v>45967</v>
      </c>
      <c r="J88" s="22" t="s">
        <v>408</v>
      </c>
      <c r="K88" s="6">
        <f t="shared" si="3"/>
        <v>46147</v>
      </c>
      <c r="M88" s="6">
        <f t="shared" si="4"/>
        <v>46147</v>
      </c>
    </row>
    <row r="89" spans="1:13" x14ac:dyDescent="0.3">
      <c r="A89">
        <v>219</v>
      </c>
      <c r="B89" t="s">
        <v>361</v>
      </c>
      <c r="C89" t="s">
        <v>536</v>
      </c>
      <c r="D89" t="s">
        <v>434</v>
      </c>
      <c r="E89" t="s">
        <v>856</v>
      </c>
      <c r="F89" s="1" t="s">
        <v>628</v>
      </c>
      <c r="G89" s="6">
        <v>45704</v>
      </c>
      <c r="H89" s="22" t="s">
        <v>659</v>
      </c>
      <c r="I89" s="6">
        <v>45900</v>
      </c>
      <c r="J89" s="22" t="s">
        <v>408</v>
      </c>
      <c r="K89" s="6">
        <f t="shared" si="3"/>
        <v>46080</v>
      </c>
      <c r="M89" s="6">
        <f t="shared" si="4"/>
        <v>46080</v>
      </c>
    </row>
    <row r="90" spans="1:13" x14ac:dyDescent="0.3">
      <c r="A90">
        <v>310</v>
      </c>
      <c r="B90" t="s">
        <v>361</v>
      </c>
      <c r="C90" t="s">
        <v>588</v>
      </c>
      <c r="D90" t="s">
        <v>522</v>
      </c>
      <c r="E90">
        <v>0</v>
      </c>
      <c r="F90" s="1" t="s">
        <v>608</v>
      </c>
      <c r="G90" s="6">
        <v>45805</v>
      </c>
      <c r="H90" s="22" t="s">
        <v>659</v>
      </c>
      <c r="I90" s="6">
        <v>45966</v>
      </c>
      <c r="J90" s="22" t="s">
        <v>408</v>
      </c>
      <c r="K90" s="6">
        <f t="shared" si="3"/>
        <v>46146</v>
      </c>
      <c r="M90" s="6">
        <f t="shared" si="4"/>
        <v>46146</v>
      </c>
    </row>
    <row r="91" spans="1:13" x14ac:dyDescent="0.3">
      <c r="A91">
        <v>256</v>
      </c>
      <c r="B91" t="s">
        <v>361</v>
      </c>
      <c r="C91" t="s">
        <v>554</v>
      </c>
      <c r="D91" t="s">
        <v>469</v>
      </c>
      <c r="E91" t="s">
        <v>888</v>
      </c>
      <c r="F91" s="1" t="s">
        <v>651</v>
      </c>
      <c r="I91" s="6">
        <f>G91+$O$1</f>
        <v>180</v>
      </c>
      <c r="K91" s="6">
        <f t="shared" si="3"/>
        <v>360</v>
      </c>
      <c r="M91" s="6">
        <f t="shared" si="4"/>
        <v>0</v>
      </c>
    </row>
    <row r="92" spans="1:13" x14ac:dyDescent="0.3">
      <c r="A92">
        <v>5</v>
      </c>
      <c r="B92" t="s">
        <v>361</v>
      </c>
      <c r="C92" t="s">
        <v>207</v>
      </c>
      <c r="D92" t="s">
        <v>2</v>
      </c>
      <c r="E92" t="s">
        <v>666</v>
      </c>
      <c r="F92" s="1" t="s">
        <v>608</v>
      </c>
      <c r="G92" s="6">
        <v>45800</v>
      </c>
      <c r="H92" s="22" t="s">
        <v>408</v>
      </c>
      <c r="I92" s="6">
        <v>45966</v>
      </c>
      <c r="J92" s="22" t="s">
        <v>408</v>
      </c>
      <c r="K92" s="6">
        <v>46087</v>
      </c>
      <c r="L92" s="22" t="s">
        <v>408</v>
      </c>
      <c r="M92" s="6" t="str">
        <f t="shared" si="4"/>
        <v>-</v>
      </c>
    </row>
    <row r="93" spans="1:13" x14ac:dyDescent="0.3">
      <c r="A93">
        <v>60</v>
      </c>
      <c r="B93" t="s">
        <v>361</v>
      </c>
      <c r="C93" t="s">
        <v>207</v>
      </c>
      <c r="D93" t="s">
        <v>425</v>
      </c>
      <c r="E93" t="s">
        <v>715</v>
      </c>
      <c r="F93" s="1" t="s">
        <v>608</v>
      </c>
      <c r="G93" s="6">
        <v>45614</v>
      </c>
      <c r="H93" s="30" t="s">
        <v>408</v>
      </c>
      <c r="I93" s="6">
        <f>G93+$O$1</f>
        <v>45794</v>
      </c>
      <c r="K93" s="6">
        <f t="shared" si="3"/>
        <v>45974</v>
      </c>
      <c r="M93" s="6">
        <f t="shared" si="4"/>
        <v>45794</v>
      </c>
    </row>
    <row r="94" spans="1:13" x14ac:dyDescent="0.3">
      <c r="A94">
        <v>107</v>
      </c>
      <c r="B94" t="s">
        <v>385</v>
      </c>
      <c r="C94" t="s">
        <v>207</v>
      </c>
      <c r="D94" t="s">
        <v>130</v>
      </c>
      <c r="E94" t="s">
        <v>754</v>
      </c>
      <c r="F94" s="1" t="s">
        <v>610</v>
      </c>
      <c r="G94" s="6">
        <v>45862</v>
      </c>
      <c r="H94" s="22" t="s">
        <v>408</v>
      </c>
      <c r="I94" s="6">
        <v>46066</v>
      </c>
      <c r="J94" s="22" t="s">
        <v>408</v>
      </c>
      <c r="K94" s="6">
        <f t="shared" si="3"/>
        <v>46246</v>
      </c>
      <c r="M94" s="6">
        <f t="shared" si="4"/>
        <v>46246</v>
      </c>
    </row>
    <row r="95" spans="1:13" x14ac:dyDescent="0.3">
      <c r="A95">
        <v>111</v>
      </c>
      <c r="B95" t="s">
        <v>361</v>
      </c>
      <c r="C95" t="s">
        <v>207</v>
      </c>
      <c r="D95" t="s">
        <v>152</v>
      </c>
      <c r="E95" t="s">
        <v>758</v>
      </c>
      <c r="F95" s="1" t="s">
        <v>638</v>
      </c>
      <c r="H95" s="26"/>
      <c r="I95" s="6">
        <f>G95+$O$1</f>
        <v>180</v>
      </c>
      <c r="K95" s="6">
        <f t="shared" si="3"/>
        <v>360</v>
      </c>
      <c r="M95" s="6">
        <f t="shared" si="4"/>
        <v>0</v>
      </c>
    </row>
    <row r="96" spans="1:13" x14ac:dyDescent="0.3">
      <c r="A96">
        <v>112</v>
      </c>
      <c r="B96" t="s">
        <v>361</v>
      </c>
      <c r="C96" t="s">
        <v>207</v>
      </c>
      <c r="D96" t="s">
        <v>153</v>
      </c>
      <c r="E96" t="s">
        <v>759</v>
      </c>
      <c r="F96" s="1" t="s">
        <v>608</v>
      </c>
      <c r="G96" s="6" t="s">
        <v>953</v>
      </c>
      <c r="H96" s="32" t="s">
        <v>408</v>
      </c>
      <c r="I96" s="6" t="s">
        <v>953</v>
      </c>
      <c r="K96" s="6" t="e">
        <f t="shared" si="3"/>
        <v>#VALUE!</v>
      </c>
      <c r="M96" s="6" t="str">
        <f t="shared" si="4"/>
        <v>13 juni 2025</v>
      </c>
    </row>
    <row r="97" spans="1:13" x14ac:dyDescent="0.3">
      <c r="A97">
        <v>144</v>
      </c>
      <c r="B97" t="s">
        <v>361</v>
      </c>
      <c r="C97" t="s">
        <v>207</v>
      </c>
      <c r="D97" s="19" t="s">
        <v>166</v>
      </c>
      <c r="E97" t="s">
        <v>790</v>
      </c>
      <c r="F97" s="20" t="s">
        <v>610</v>
      </c>
      <c r="G97" s="6">
        <v>45861</v>
      </c>
      <c r="H97" s="22" t="s">
        <v>408</v>
      </c>
      <c r="I97" s="6">
        <f t="shared" ref="I97:I101" si="6">G97+$O$1</f>
        <v>46041</v>
      </c>
      <c r="J97" s="26"/>
      <c r="K97" s="6">
        <f t="shared" si="3"/>
        <v>46221</v>
      </c>
      <c r="M97" s="6">
        <f t="shared" si="4"/>
        <v>46041</v>
      </c>
    </row>
    <row r="98" spans="1:13" x14ac:dyDescent="0.3">
      <c r="A98">
        <v>149</v>
      </c>
      <c r="B98" t="s">
        <v>361</v>
      </c>
      <c r="C98" t="s">
        <v>207</v>
      </c>
      <c r="D98" t="s">
        <v>159</v>
      </c>
      <c r="E98" t="s">
        <v>794</v>
      </c>
      <c r="F98" s="1" t="s">
        <v>622</v>
      </c>
      <c r="G98" s="6">
        <v>45847</v>
      </c>
      <c r="H98" s="22" t="s">
        <v>408</v>
      </c>
      <c r="I98" s="6">
        <f t="shared" si="6"/>
        <v>46027</v>
      </c>
      <c r="J98" s="26"/>
      <c r="K98" s="6">
        <f t="shared" si="3"/>
        <v>46207</v>
      </c>
      <c r="M98" s="6">
        <f t="shared" si="4"/>
        <v>46027</v>
      </c>
    </row>
    <row r="99" spans="1:13" x14ac:dyDescent="0.3">
      <c r="A99">
        <v>151</v>
      </c>
      <c r="B99" t="s">
        <v>361</v>
      </c>
      <c r="C99" t="s">
        <v>207</v>
      </c>
      <c r="D99" t="s">
        <v>162</v>
      </c>
      <c r="E99" t="e">
        <v>#N/A</v>
      </c>
      <c r="F99" s="1" t="s">
        <v>610</v>
      </c>
      <c r="G99" s="6">
        <v>45765</v>
      </c>
      <c r="H99" s="22" t="s">
        <v>408</v>
      </c>
      <c r="I99" s="6">
        <f t="shared" si="6"/>
        <v>45945</v>
      </c>
      <c r="J99" s="26" t="s">
        <v>960</v>
      </c>
      <c r="K99" s="6">
        <f t="shared" si="3"/>
        <v>46125</v>
      </c>
      <c r="M99" s="6">
        <f t="shared" si="4"/>
        <v>45945</v>
      </c>
    </row>
    <row r="100" spans="1:13" x14ac:dyDescent="0.3">
      <c r="A100">
        <v>182</v>
      </c>
      <c r="B100" t="s">
        <v>381</v>
      </c>
      <c r="C100" t="s">
        <v>207</v>
      </c>
      <c r="D100" t="s">
        <v>118</v>
      </c>
      <c r="E100" t="s">
        <v>820</v>
      </c>
      <c r="F100" s="1" t="s">
        <v>609</v>
      </c>
      <c r="I100" s="6">
        <f t="shared" si="6"/>
        <v>180</v>
      </c>
      <c r="K100" s="6">
        <f t="shared" si="3"/>
        <v>360</v>
      </c>
      <c r="M100" s="6">
        <f t="shared" si="4"/>
        <v>0</v>
      </c>
    </row>
    <row r="101" spans="1:13" x14ac:dyDescent="0.3">
      <c r="A101">
        <v>186</v>
      </c>
      <c r="B101" t="s">
        <v>361</v>
      </c>
      <c r="C101" t="s">
        <v>207</v>
      </c>
      <c r="D101" t="s">
        <v>178</v>
      </c>
      <c r="E101" t="s">
        <v>824</v>
      </c>
      <c r="F101" s="1" t="s">
        <v>622</v>
      </c>
      <c r="H101" s="34"/>
      <c r="I101" s="6">
        <f t="shared" si="6"/>
        <v>180</v>
      </c>
      <c r="K101" s="6">
        <f t="shared" si="3"/>
        <v>360</v>
      </c>
      <c r="M101" s="6">
        <f t="shared" si="4"/>
        <v>0</v>
      </c>
    </row>
    <row r="102" spans="1:13" x14ac:dyDescent="0.3">
      <c r="A102">
        <v>193</v>
      </c>
      <c r="B102" t="s">
        <v>361</v>
      </c>
      <c r="C102" t="s">
        <v>207</v>
      </c>
      <c r="D102" t="s">
        <v>188</v>
      </c>
      <c r="E102" t="s">
        <v>831</v>
      </c>
      <c r="F102" s="1" t="s">
        <v>635</v>
      </c>
      <c r="G102" s="6">
        <v>45870</v>
      </c>
      <c r="H102" s="22" t="s">
        <v>408</v>
      </c>
      <c r="I102" s="6">
        <v>46066</v>
      </c>
      <c r="J102" s="22" t="s">
        <v>408</v>
      </c>
      <c r="K102" s="6">
        <f t="shared" si="3"/>
        <v>46246</v>
      </c>
      <c r="M102" s="6">
        <f t="shared" si="4"/>
        <v>46246</v>
      </c>
    </row>
    <row r="103" spans="1:13" x14ac:dyDescent="0.3">
      <c r="A103">
        <v>196</v>
      </c>
      <c r="B103" t="s">
        <v>361</v>
      </c>
      <c r="C103" t="s">
        <v>207</v>
      </c>
      <c r="D103" t="s">
        <v>184</v>
      </c>
      <c r="E103" t="s">
        <v>834</v>
      </c>
      <c r="F103" s="1" t="s">
        <v>608</v>
      </c>
      <c r="G103" s="6">
        <v>45775</v>
      </c>
      <c r="H103" s="22" t="s">
        <v>659</v>
      </c>
      <c r="I103" s="6">
        <v>45927</v>
      </c>
      <c r="J103" s="22" t="s">
        <v>408</v>
      </c>
      <c r="K103" s="6">
        <f t="shared" si="3"/>
        <v>46107</v>
      </c>
      <c r="M103" s="6">
        <f t="shared" si="4"/>
        <v>46107</v>
      </c>
    </row>
    <row r="104" spans="1:13" x14ac:dyDescent="0.3">
      <c r="A104">
        <v>263</v>
      </c>
      <c r="B104" t="s">
        <v>361</v>
      </c>
      <c r="C104" t="s">
        <v>555</v>
      </c>
      <c r="D104" t="s">
        <v>475</v>
      </c>
      <c r="E104" t="s">
        <v>892</v>
      </c>
      <c r="F104" s="1" t="s">
        <v>627</v>
      </c>
      <c r="H104" s="26"/>
      <c r="I104" s="6">
        <f t="shared" ref="I104:I111" si="7">G104+$O$1</f>
        <v>180</v>
      </c>
      <c r="K104" s="6">
        <f t="shared" si="3"/>
        <v>360</v>
      </c>
      <c r="M104" s="6">
        <f t="shared" si="4"/>
        <v>0</v>
      </c>
    </row>
    <row r="105" spans="1:13" x14ac:dyDescent="0.3">
      <c r="A105">
        <v>147</v>
      </c>
      <c r="B105" t="s">
        <v>341</v>
      </c>
      <c r="C105" t="s">
        <v>347</v>
      </c>
      <c r="D105" t="s">
        <v>177</v>
      </c>
      <c r="E105" t="s">
        <v>792</v>
      </c>
      <c r="F105" s="1" t="s">
        <v>643</v>
      </c>
      <c r="G105" s="6">
        <v>45859</v>
      </c>
      <c r="H105" s="22" t="s">
        <v>408</v>
      </c>
      <c r="I105" s="6">
        <f t="shared" si="7"/>
        <v>46039</v>
      </c>
      <c r="J105" s="22" t="s">
        <v>408</v>
      </c>
      <c r="K105" s="6">
        <f t="shared" si="3"/>
        <v>46219</v>
      </c>
      <c r="M105" s="6">
        <f t="shared" si="4"/>
        <v>46219</v>
      </c>
    </row>
    <row r="106" spans="1:13" x14ac:dyDescent="0.3">
      <c r="A106">
        <v>146</v>
      </c>
      <c r="B106" t="s">
        <v>341</v>
      </c>
      <c r="C106" t="s">
        <v>345</v>
      </c>
      <c r="D106" t="s">
        <v>172</v>
      </c>
      <c r="E106" t="s">
        <v>791</v>
      </c>
      <c r="F106" s="1" t="s">
        <v>638</v>
      </c>
      <c r="G106" s="6">
        <v>45618</v>
      </c>
      <c r="H106" s="26" t="s">
        <v>659</v>
      </c>
      <c r="I106" s="6">
        <f t="shared" si="7"/>
        <v>45798</v>
      </c>
      <c r="K106" s="6">
        <f t="shared" si="3"/>
        <v>45978</v>
      </c>
      <c r="M106" s="6">
        <f t="shared" si="4"/>
        <v>45798</v>
      </c>
    </row>
    <row r="107" spans="1:13" x14ac:dyDescent="0.3">
      <c r="A107">
        <v>150</v>
      </c>
      <c r="B107" t="s">
        <v>341</v>
      </c>
      <c r="C107" t="s">
        <v>345</v>
      </c>
      <c r="D107" t="s">
        <v>179</v>
      </c>
      <c r="E107" t="s">
        <v>795</v>
      </c>
      <c r="F107" s="1" t="s">
        <v>627</v>
      </c>
      <c r="H107" s="26"/>
      <c r="I107" s="6">
        <f t="shared" si="7"/>
        <v>180</v>
      </c>
      <c r="K107" s="6">
        <f t="shared" si="3"/>
        <v>360</v>
      </c>
      <c r="M107" s="6">
        <f t="shared" si="4"/>
        <v>0</v>
      </c>
    </row>
    <row r="108" spans="1:13" x14ac:dyDescent="0.3">
      <c r="A108">
        <v>145</v>
      </c>
      <c r="B108" t="s">
        <v>368</v>
      </c>
      <c r="C108" t="s">
        <v>267</v>
      </c>
      <c r="D108" t="s">
        <v>427</v>
      </c>
      <c r="E108" t="e">
        <v>#N/A</v>
      </c>
      <c r="F108" s="1" t="s">
        <v>635</v>
      </c>
      <c r="G108" s="6">
        <v>45870</v>
      </c>
      <c r="H108" s="22" t="s">
        <v>408</v>
      </c>
      <c r="I108" s="6">
        <f t="shared" si="7"/>
        <v>46050</v>
      </c>
      <c r="J108" s="26"/>
      <c r="K108" s="6">
        <f t="shared" si="3"/>
        <v>46230</v>
      </c>
      <c r="M108" s="6">
        <f t="shared" si="4"/>
        <v>46050</v>
      </c>
    </row>
    <row r="109" spans="1:13" x14ac:dyDescent="0.3">
      <c r="A109">
        <v>127</v>
      </c>
      <c r="B109" t="s">
        <v>364</v>
      </c>
      <c r="C109" t="s">
        <v>339</v>
      </c>
      <c r="D109" t="s">
        <v>142</v>
      </c>
      <c r="E109" t="s">
        <v>774</v>
      </c>
      <c r="F109" s="1" t="s">
        <v>617</v>
      </c>
      <c r="G109" s="6">
        <v>45820</v>
      </c>
      <c r="H109" s="17" t="s">
        <v>408</v>
      </c>
      <c r="I109" s="6">
        <v>46090</v>
      </c>
      <c r="J109" s="22" t="s">
        <v>408</v>
      </c>
      <c r="K109" s="6">
        <f t="shared" si="3"/>
        <v>46270</v>
      </c>
      <c r="M109" s="6">
        <f t="shared" si="4"/>
        <v>46270</v>
      </c>
    </row>
    <row r="110" spans="1:13" x14ac:dyDescent="0.3">
      <c r="A110">
        <v>268</v>
      </c>
      <c r="B110" t="s">
        <v>532</v>
      </c>
      <c r="C110" t="s">
        <v>559</v>
      </c>
      <c r="D110" t="s">
        <v>480</v>
      </c>
      <c r="E110" t="s">
        <v>896</v>
      </c>
      <c r="F110" s="1" t="s">
        <v>617</v>
      </c>
      <c r="G110" s="6">
        <v>45891</v>
      </c>
      <c r="H110" s="22" t="s">
        <v>408</v>
      </c>
      <c r="I110" s="6">
        <v>46076</v>
      </c>
      <c r="J110" s="22" t="s">
        <v>408</v>
      </c>
      <c r="K110" s="6">
        <f t="shared" si="3"/>
        <v>46256</v>
      </c>
      <c r="M110" s="6">
        <f t="shared" si="4"/>
        <v>46256</v>
      </c>
    </row>
    <row r="111" spans="1:13" x14ac:dyDescent="0.3">
      <c r="A111">
        <v>61</v>
      </c>
      <c r="B111" t="s">
        <v>361</v>
      </c>
      <c r="C111" t="s">
        <v>282</v>
      </c>
      <c r="D111" s="19" t="s">
        <v>82</v>
      </c>
      <c r="E111" t="s">
        <v>716</v>
      </c>
      <c r="F111" s="1" t="s">
        <v>627</v>
      </c>
      <c r="G111" s="6">
        <v>45614</v>
      </c>
      <c r="H111" s="26" t="s">
        <v>408</v>
      </c>
      <c r="I111" s="6">
        <f t="shared" si="7"/>
        <v>45794</v>
      </c>
      <c r="K111" s="6">
        <f t="shared" si="3"/>
        <v>45974</v>
      </c>
      <c r="M111" s="6">
        <f t="shared" si="4"/>
        <v>45794</v>
      </c>
    </row>
    <row r="112" spans="1:13" x14ac:dyDescent="0.3">
      <c r="A112">
        <v>68</v>
      </c>
      <c r="B112" t="s">
        <v>367</v>
      </c>
      <c r="C112" t="s">
        <v>253</v>
      </c>
      <c r="D112" t="s">
        <v>50</v>
      </c>
      <c r="E112" t="s">
        <v>722</v>
      </c>
      <c r="F112" s="1" t="s">
        <v>632</v>
      </c>
      <c r="G112" s="6">
        <v>45809</v>
      </c>
      <c r="H112" s="22" t="s">
        <v>408</v>
      </c>
      <c r="I112" s="6">
        <v>46086</v>
      </c>
      <c r="J112" s="22" t="s">
        <v>408</v>
      </c>
      <c r="K112" s="6">
        <f t="shared" si="3"/>
        <v>46266</v>
      </c>
      <c r="M112" s="6">
        <f t="shared" si="4"/>
        <v>46266</v>
      </c>
    </row>
    <row r="113" spans="1:13" x14ac:dyDescent="0.3">
      <c r="A113">
        <v>78</v>
      </c>
      <c r="B113" t="s">
        <v>367</v>
      </c>
      <c r="C113" t="s">
        <v>277</v>
      </c>
      <c r="D113" t="s">
        <v>75</v>
      </c>
      <c r="E113" t="s">
        <v>729</v>
      </c>
      <c r="F113" s="1" t="s">
        <v>608</v>
      </c>
      <c r="G113" s="6">
        <v>45839</v>
      </c>
      <c r="H113" s="17" t="s">
        <v>408</v>
      </c>
      <c r="I113" s="6">
        <v>45988</v>
      </c>
      <c r="J113" s="22" t="s">
        <v>408</v>
      </c>
      <c r="K113" s="26">
        <f t="shared" si="3"/>
        <v>46168</v>
      </c>
      <c r="M113" s="6">
        <f t="shared" si="4"/>
        <v>46168</v>
      </c>
    </row>
    <row r="114" spans="1:13" x14ac:dyDescent="0.3">
      <c r="A114">
        <v>70</v>
      </c>
      <c r="B114" t="s">
        <v>362</v>
      </c>
      <c r="C114" t="s">
        <v>220</v>
      </c>
      <c r="D114" t="s">
        <v>15</v>
      </c>
      <c r="E114" t="s">
        <v>723</v>
      </c>
      <c r="F114" s="1" t="s">
        <v>633</v>
      </c>
      <c r="G114" s="6">
        <v>45449</v>
      </c>
      <c r="H114" s="34" t="s">
        <v>408</v>
      </c>
      <c r="I114" s="6">
        <f>G114+$O$1</f>
        <v>45629</v>
      </c>
      <c r="K114" s="6">
        <f t="shared" si="3"/>
        <v>45809</v>
      </c>
      <c r="M114" s="6">
        <f t="shared" si="4"/>
        <v>45629</v>
      </c>
    </row>
    <row r="115" spans="1:13" x14ac:dyDescent="0.3">
      <c r="A115">
        <v>69</v>
      </c>
      <c r="B115" t="s">
        <v>367</v>
      </c>
      <c r="C115" t="s">
        <v>290</v>
      </c>
      <c r="D115" t="s">
        <v>91</v>
      </c>
      <c r="E115" t="e">
        <v>#N/A</v>
      </c>
      <c r="F115" s="1" t="s">
        <v>618</v>
      </c>
      <c r="G115" s="6">
        <v>0</v>
      </c>
      <c r="H115" s="26" t="s">
        <v>408</v>
      </c>
      <c r="I115" s="6">
        <f>G115+$O$1</f>
        <v>180</v>
      </c>
      <c r="K115" s="6">
        <f t="shared" si="3"/>
        <v>360</v>
      </c>
      <c r="M115" s="6">
        <f t="shared" si="4"/>
        <v>180</v>
      </c>
    </row>
    <row r="116" spans="1:13" x14ac:dyDescent="0.3">
      <c r="A116">
        <v>319</v>
      </c>
      <c r="B116" t="s">
        <v>367</v>
      </c>
      <c r="C116" t="s">
        <v>595</v>
      </c>
      <c r="D116" t="s">
        <v>598</v>
      </c>
      <c r="E116" t="s">
        <v>927</v>
      </c>
      <c r="F116" s="1" t="s">
        <v>610</v>
      </c>
      <c r="G116" s="6">
        <v>45624</v>
      </c>
      <c r="H116" s="26" t="s">
        <v>408</v>
      </c>
      <c r="I116" s="6">
        <f>G116+$O$1</f>
        <v>45804</v>
      </c>
      <c r="K116" s="6">
        <f t="shared" si="3"/>
        <v>45984</v>
      </c>
      <c r="M116" s="6">
        <f t="shared" si="4"/>
        <v>45804</v>
      </c>
    </row>
    <row r="117" spans="1:13" x14ac:dyDescent="0.3">
      <c r="A117">
        <v>72</v>
      </c>
      <c r="B117" t="s">
        <v>368</v>
      </c>
      <c r="C117" t="s">
        <v>285</v>
      </c>
      <c r="D117" t="s">
        <v>86</v>
      </c>
      <c r="E117" t="s">
        <v>724</v>
      </c>
      <c r="F117" s="1" t="s">
        <v>619</v>
      </c>
      <c r="G117" s="6">
        <v>45623</v>
      </c>
      <c r="H117" s="22" t="s">
        <v>408</v>
      </c>
      <c r="I117" s="6">
        <v>45930</v>
      </c>
      <c r="J117" s="22" t="s">
        <v>408</v>
      </c>
      <c r="K117" s="6">
        <f t="shared" si="3"/>
        <v>46110</v>
      </c>
      <c r="M117" s="6">
        <f t="shared" si="4"/>
        <v>46110</v>
      </c>
    </row>
    <row r="118" spans="1:13" x14ac:dyDescent="0.3">
      <c r="A118">
        <v>99</v>
      </c>
      <c r="B118" t="s">
        <v>368</v>
      </c>
      <c r="C118" t="s">
        <v>258</v>
      </c>
      <c r="D118" t="s">
        <v>56</v>
      </c>
      <c r="E118" t="s">
        <v>746</v>
      </c>
      <c r="F118" s="1" t="s">
        <v>608</v>
      </c>
      <c r="G118" s="6">
        <v>45538</v>
      </c>
      <c r="H118" s="26" t="s">
        <v>408</v>
      </c>
      <c r="I118" s="6">
        <f>G118+$O$1</f>
        <v>45718</v>
      </c>
      <c r="K118" s="6">
        <f t="shared" si="3"/>
        <v>45898</v>
      </c>
      <c r="M118" s="6">
        <f t="shared" si="4"/>
        <v>45718</v>
      </c>
    </row>
    <row r="119" spans="1:13" x14ac:dyDescent="0.3">
      <c r="A119">
        <v>74</v>
      </c>
      <c r="B119" t="s">
        <v>362</v>
      </c>
      <c r="C119" t="s">
        <v>231</v>
      </c>
      <c r="D119" t="s">
        <v>26</v>
      </c>
      <c r="E119" t="s">
        <v>725</v>
      </c>
      <c r="F119" s="1" t="s">
        <v>611</v>
      </c>
      <c r="G119" s="6">
        <v>45472</v>
      </c>
      <c r="H119" s="22" t="s">
        <v>408</v>
      </c>
      <c r="I119" s="6">
        <v>45903</v>
      </c>
      <c r="J119" s="22" t="s">
        <v>659</v>
      </c>
      <c r="K119" s="6">
        <f t="shared" si="3"/>
        <v>46083</v>
      </c>
      <c r="L119" s="26"/>
      <c r="M119" s="6">
        <f t="shared" si="4"/>
        <v>46083</v>
      </c>
    </row>
    <row r="120" spans="1:13" x14ac:dyDescent="0.3">
      <c r="A120">
        <v>62</v>
      </c>
      <c r="B120" t="s">
        <v>368</v>
      </c>
      <c r="C120" t="s">
        <v>283</v>
      </c>
      <c r="D120" t="s">
        <v>84</v>
      </c>
      <c r="E120" t="s">
        <v>717</v>
      </c>
      <c r="F120" s="1" t="s">
        <v>611</v>
      </c>
      <c r="G120" s="6">
        <v>45309</v>
      </c>
      <c r="H120" s="22" t="s">
        <v>408</v>
      </c>
      <c r="I120" s="6">
        <f>G120+$O$1</f>
        <v>45489</v>
      </c>
      <c r="J120" s="26" t="s">
        <v>1600</v>
      </c>
      <c r="K120" s="6">
        <f t="shared" si="3"/>
        <v>45669</v>
      </c>
      <c r="M120" s="6">
        <f t="shared" si="4"/>
        <v>45489</v>
      </c>
    </row>
    <row r="121" spans="1:13" x14ac:dyDescent="0.3">
      <c r="A121">
        <v>52</v>
      </c>
      <c r="B121" t="s">
        <v>371</v>
      </c>
      <c r="C121" t="s">
        <v>281</v>
      </c>
      <c r="D121" t="s">
        <v>81</v>
      </c>
      <c r="E121" t="s">
        <v>708</v>
      </c>
      <c r="F121" s="1" t="s">
        <v>627</v>
      </c>
      <c r="G121" s="6">
        <v>0</v>
      </c>
      <c r="H121" s="26" t="s">
        <v>408</v>
      </c>
      <c r="I121" s="6">
        <f>G121+$O$1</f>
        <v>180</v>
      </c>
      <c r="K121" s="6">
        <f t="shared" si="3"/>
        <v>360</v>
      </c>
      <c r="M121" s="6">
        <f t="shared" si="4"/>
        <v>180</v>
      </c>
    </row>
    <row r="122" spans="1:13" x14ac:dyDescent="0.3">
      <c r="A122">
        <v>54</v>
      </c>
      <c r="B122" t="s">
        <v>370</v>
      </c>
      <c r="C122" t="s">
        <v>276</v>
      </c>
      <c r="D122" t="s">
        <v>74</v>
      </c>
      <c r="E122" t="s">
        <v>710</v>
      </c>
      <c r="F122" s="1" t="s">
        <v>610</v>
      </c>
      <c r="G122" s="6">
        <v>45874</v>
      </c>
      <c r="H122" s="22" t="s">
        <v>408</v>
      </c>
      <c r="I122" s="6">
        <v>46084</v>
      </c>
      <c r="J122" s="22" t="s">
        <v>408</v>
      </c>
      <c r="K122" s="6">
        <f t="shared" si="3"/>
        <v>46264</v>
      </c>
      <c r="M122" s="6">
        <f t="shared" si="4"/>
        <v>46264</v>
      </c>
    </row>
    <row r="123" spans="1:13" x14ac:dyDescent="0.3">
      <c r="A123">
        <v>50</v>
      </c>
      <c r="B123" t="s">
        <v>368</v>
      </c>
      <c r="C123" t="s">
        <v>271</v>
      </c>
      <c r="D123" t="s">
        <v>68</v>
      </c>
      <c r="E123" t="s">
        <v>706</v>
      </c>
      <c r="F123" s="1" t="s">
        <v>608</v>
      </c>
      <c r="G123" s="6">
        <v>45590</v>
      </c>
      <c r="H123" s="22" t="s">
        <v>408</v>
      </c>
      <c r="I123" s="6">
        <v>45849</v>
      </c>
      <c r="J123" s="22" t="s">
        <v>408</v>
      </c>
      <c r="K123" s="6">
        <f t="shared" si="3"/>
        <v>46029</v>
      </c>
      <c r="M123" s="6">
        <f t="shared" si="4"/>
        <v>46029</v>
      </c>
    </row>
    <row r="124" spans="1:13" x14ac:dyDescent="0.3">
      <c r="A124">
        <v>94</v>
      </c>
      <c r="B124" t="s">
        <v>367</v>
      </c>
      <c r="C124" t="s">
        <v>255</v>
      </c>
      <c r="D124" t="s">
        <v>52</v>
      </c>
      <c r="E124" t="s">
        <v>741</v>
      </c>
      <c r="F124" s="1" t="s">
        <v>611</v>
      </c>
      <c r="G124" s="6">
        <v>45741</v>
      </c>
      <c r="H124" s="22" t="s">
        <v>408</v>
      </c>
      <c r="I124" s="6">
        <v>45904</v>
      </c>
      <c r="J124" s="22" t="s">
        <v>408</v>
      </c>
      <c r="K124" s="6">
        <f t="shared" si="3"/>
        <v>46084</v>
      </c>
      <c r="M124" s="6">
        <f t="shared" si="4"/>
        <v>46084</v>
      </c>
    </row>
    <row r="125" spans="1:13" x14ac:dyDescent="0.3">
      <c r="A125">
        <v>71</v>
      </c>
      <c r="B125" t="s">
        <v>368</v>
      </c>
      <c r="C125" t="s">
        <v>264</v>
      </c>
      <c r="D125" t="s">
        <v>62</v>
      </c>
      <c r="E125" t="s">
        <v>692</v>
      </c>
      <c r="F125" s="1" t="s">
        <v>624</v>
      </c>
      <c r="G125" s="6">
        <v>45651</v>
      </c>
      <c r="H125" s="22" t="s">
        <v>408</v>
      </c>
      <c r="I125" s="6">
        <v>45917</v>
      </c>
      <c r="J125" s="22" t="s">
        <v>408</v>
      </c>
      <c r="K125" s="6">
        <f t="shared" si="3"/>
        <v>46097</v>
      </c>
      <c r="M125" s="6">
        <f t="shared" si="4"/>
        <v>46097</v>
      </c>
    </row>
    <row r="126" spans="1:13" x14ac:dyDescent="0.3">
      <c r="A126">
        <v>53</v>
      </c>
      <c r="B126" t="s">
        <v>363</v>
      </c>
      <c r="C126" t="s">
        <v>274</v>
      </c>
      <c r="D126" t="s">
        <v>72</v>
      </c>
      <c r="E126" t="s">
        <v>709</v>
      </c>
      <c r="F126" s="1" t="s">
        <v>628</v>
      </c>
      <c r="G126" s="6">
        <v>45870</v>
      </c>
      <c r="H126" s="22" t="s">
        <v>408</v>
      </c>
      <c r="I126" s="6">
        <f>G126+$O$1</f>
        <v>46050</v>
      </c>
      <c r="J126" s="26" t="s">
        <v>1629</v>
      </c>
      <c r="K126" s="6">
        <f t="shared" si="3"/>
        <v>46230</v>
      </c>
      <c r="M126" s="6">
        <f t="shared" si="4"/>
        <v>46050</v>
      </c>
    </row>
    <row r="127" spans="1:13" x14ac:dyDescent="0.3">
      <c r="A127">
        <v>51</v>
      </c>
      <c r="B127" t="s">
        <v>362</v>
      </c>
      <c r="C127" t="s">
        <v>268</v>
      </c>
      <c r="D127" t="s">
        <v>65</v>
      </c>
      <c r="E127" t="s">
        <v>707</v>
      </c>
      <c r="F127" s="1" t="s">
        <v>610</v>
      </c>
      <c r="G127" s="6">
        <v>45891</v>
      </c>
      <c r="H127" s="22" t="s">
        <v>408</v>
      </c>
      <c r="I127" s="6">
        <f>G127+$O$1</f>
        <v>46071</v>
      </c>
      <c r="J127" s="26"/>
      <c r="K127" s="6">
        <f t="shared" si="3"/>
        <v>46251</v>
      </c>
      <c r="M127" s="6">
        <f t="shared" si="4"/>
        <v>46071</v>
      </c>
    </row>
    <row r="128" spans="1:13" x14ac:dyDescent="0.3">
      <c r="A128">
        <v>66</v>
      </c>
      <c r="B128" t="s">
        <v>368</v>
      </c>
      <c r="C128" t="s">
        <v>273</v>
      </c>
      <c r="D128" s="19" t="s">
        <v>70</v>
      </c>
      <c r="E128" t="s">
        <v>721</v>
      </c>
      <c r="F128" s="1" t="s">
        <v>610</v>
      </c>
      <c r="G128" s="6">
        <v>0</v>
      </c>
      <c r="H128" s="26" t="s">
        <v>408</v>
      </c>
      <c r="I128" s="6">
        <f>G128+$O$1</f>
        <v>180</v>
      </c>
      <c r="K128" s="6">
        <f t="shared" si="3"/>
        <v>360</v>
      </c>
      <c r="M128" s="6">
        <f t="shared" si="4"/>
        <v>180</v>
      </c>
    </row>
    <row r="129" spans="1:13" x14ac:dyDescent="0.3">
      <c r="A129">
        <v>56</v>
      </c>
      <c r="B129" t="s">
        <v>362</v>
      </c>
      <c r="C129" t="s">
        <v>266</v>
      </c>
      <c r="D129" t="s">
        <v>64</v>
      </c>
      <c r="E129" t="s">
        <v>711</v>
      </c>
      <c r="F129" s="1" t="s">
        <v>611</v>
      </c>
      <c r="G129" s="6">
        <v>45777</v>
      </c>
      <c r="H129" s="22" t="s">
        <v>408</v>
      </c>
      <c r="I129" s="6">
        <v>46076</v>
      </c>
      <c r="J129" s="22" t="s">
        <v>659</v>
      </c>
      <c r="K129" s="6">
        <f t="shared" si="3"/>
        <v>46256</v>
      </c>
      <c r="M129" s="6">
        <f t="shared" si="4"/>
        <v>46256</v>
      </c>
    </row>
    <row r="130" spans="1:13" x14ac:dyDescent="0.3">
      <c r="A130">
        <v>42</v>
      </c>
      <c r="B130" t="s">
        <v>367</v>
      </c>
      <c r="C130" t="s">
        <v>270</v>
      </c>
      <c r="D130" t="s">
        <v>67</v>
      </c>
      <c r="E130" t="s">
        <v>698</v>
      </c>
      <c r="F130" s="1" t="s">
        <v>610</v>
      </c>
      <c r="G130" s="6">
        <v>45833</v>
      </c>
      <c r="H130" s="22" t="s">
        <v>408</v>
      </c>
      <c r="I130" s="6">
        <v>46076</v>
      </c>
      <c r="J130" s="22" t="s">
        <v>408</v>
      </c>
      <c r="K130" s="6">
        <f t="shared" si="3"/>
        <v>46256</v>
      </c>
      <c r="M130" s="6">
        <f t="shared" si="4"/>
        <v>46256</v>
      </c>
    </row>
    <row r="131" spans="1:13" x14ac:dyDescent="0.3">
      <c r="A131">
        <v>39</v>
      </c>
      <c r="B131" t="s">
        <v>367</v>
      </c>
      <c r="C131" t="s">
        <v>262</v>
      </c>
      <c r="D131" t="s">
        <v>60</v>
      </c>
      <c r="E131" t="s">
        <v>695</v>
      </c>
      <c r="F131" s="1" t="s">
        <v>618</v>
      </c>
      <c r="G131" s="6">
        <v>45766</v>
      </c>
      <c r="H131" s="22" t="s">
        <v>408</v>
      </c>
      <c r="I131" s="6">
        <v>45988</v>
      </c>
      <c r="J131" s="22" t="s">
        <v>408</v>
      </c>
      <c r="K131" s="6">
        <f t="shared" ref="K131:K194" si="8">I131+$O$1</f>
        <v>46168</v>
      </c>
      <c r="M131" s="6">
        <f t="shared" ref="M131:M194" si="9">IF(H131="Done",IF(J131="Done",IF(L131="Done","-",K131),I131),G131)</f>
        <v>46168</v>
      </c>
    </row>
    <row r="132" spans="1:13" x14ac:dyDescent="0.3">
      <c r="A132">
        <v>55</v>
      </c>
      <c r="B132" t="s">
        <v>364</v>
      </c>
      <c r="C132" t="s">
        <v>260</v>
      </c>
      <c r="D132" t="s">
        <v>58</v>
      </c>
      <c r="E132" t="e">
        <v>#N/A</v>
      </c>
      <c r="F132" s="1" t="s">
        <v>610</v>
      </c>
      <c r="G132" s="6">
        <v>45805</v>
      </c>
      <c r="H132" s="22" t="s">
        <v>408</v>
      </c>
      <c r="I132" s="6">
        <f>G132+$O$1</f>
        <v>45985</v>
      </c>
      <c r="J132" s="26"/>
      <c r="K132" s="6">
        <f t="shared" si="8"/>
        <v>46165</v>
      </c>
      <c r="M132" s="6">
        <f t="shared" si="9"/>
        <v>45985</v>
      </c>
    </row>
    <row r="133" spans="1:13" x14ac:dyDescent="0.3">
      <c r="A133">
        <v>46</v>
      </c>
      <c r="B133" t="s">
        <v>362</v>
      </c>
      <c r="C133" t="s">
        <v>250</v>
      </c>
      <c r="D133" t="s">
        <v>47</v>
      </c>
      <c r="E133" t="s">
        <v>702</v>
      </c>
      <c r="F133" s="1" t="s">
        <v>610</v>
      </c>
      <c r="G133" s="6">
        <v>44992</v>
      </c>
      <c r="H133" s="11" t="s">
        <v>408</v>
      </c>
      <c r="I133" s="6">
        <f>G133+$O$1</f>
        <v>45172</v>
      </c>
      <c r="K133" s="6">
        <f t="shared" si="8"/>
        <v>45352</v>
      </c>
      <c r="M133" s="6">
        <f t="shared" si="9"/>
        <v>45172</v>
      </c>
    </row>
    <row r="134" spans="1:13" x14ac:dyDescent="0.3">
      <c r="A134">
        <v>48</v>
      </c>
      <c r="B134" t="s">
        <v>369</v>
      </c>
      <c r="C134" t="s">
        <v>263</v>
      </c>
      <c r="D134" t="s">
        <v>61</v>
      </c>
      <c r="E134" t="s">
        <v>704</v>
      </c>
      <c r="F134" s="1" t="s">
        <v>617</v>
      </c>
      <c r="G134" s="6">
        <v>45591</v>
      </c>
      <c r="H134" s="26" t="s">
        <v>408</v>
      </c>
      <c r="I134" s="6">
        <f>G134+$O$1</f>
        <v>45771</v>
      </c>
      <c r="K134" s="6">
        <f t="shared" si="8"/>
        <v>45951</v>
      </c>
      <c r="M134" s="6">
        <f t="shared" si="9"/>
        <v>45771</v>
      </c>
    </row>
    <row r="135" spans="1:13" x14ac:dyDescent="0.3">
      <c r="A135">
        <v>29</v>
      </c>
      <c r="B135" t="s">
        <v>362</v>
      </c>
      <c r="C135" t="s">
        <v>252</v>
      </c>
      <c r="D135" s="24" t="s">
        <v>49</v>
      </c>
      <c r="E135" t="s">
        <v>686</v>
      </c>
      <c r="F135" s="1" t="s">
        <v>608</v>
      </c>
      <c r="G135" s="6">
        <v>45892</v>
      </c>
      <c r="H135" s="22" t="s">
        <v>408</v>
      </c>
      <c r="I135" s="6">
        <f>G135+$O$1</f>
        <v>46072</v>
      </c>
      <c r="J135" s="26"/>
      <c r="K135" s="6">
        <f t="shared" si="8"/>
        <v>46252</v>
      </c>
      <c r="M135" s="6">
        <f t="shared" si="9"/>
        <v>46072</v>
      </c>
    </row>
    <row r="136" spans="1:13" x14ac:dyDescent="0.3">
      <c r="A136">
        <v>45</v>
      </c>
      <c r="B136" t="s">
        <v>362</v>
      </c>
      <c r="C136" t="s">
        <v>261</v>
      </c>
      <c r="D136" t="s">
        <v>59</v>
      </c>
      <c r="E136" t="s">
        <v>701</v>
      </c>
      <c r="F136" s="1" t="s">
        <v>608</v>
      </c>
      <c r="G136" s="6">
        <v>45672</v>
      </c>
      <c r="H136" s="22" t="s">
        <v>408</v>
      </c>
      <c r="I136" s="6">
        <v>45906</v>
      </c>
      <c r="J136" s="22" t="s">
        <v>659</v>
      </c>
      <c r="K136" s="6">
        <f t="shared" si="8"/>
        <v>46086</v>
      </c>
      <c r="L136" s="26"/>
      <c r="M136" s="6">
        <f t="shared" si="9"/>
        <v>46086</v>
      </c>
    </row>
    <row r="137" spans="1:13" x14ac:dyDescent="0.3">
      <c r="A137">
        <v>37</v>
      </c>
      <c r="B137" t="s">
        <v>367</v>
      </c>
      <c r="C137" t="s">
        <v>257</v>
      </c>
      <c r="D137" t="s">
        <v>54</v>
      </c>
      <c r="E137" t="s">
        <v>693</v>
      </c>
      <c r="F137" s="1" t="s">
        <v>608</v>
      </c>
      <c r="G137" s="6">
        <v>45366</v>
      </c>
      <c r="H137" s="22" t="s">
        <v>408</v>
      </c>
      <c r="I137" s="6">
        <f>G137+$O$1</f>
        <v>45546</v>
      </c>
      <c r="K137" s="6">
        <f t="shared" si="8"/>
        <v>45726</v>
      </c>
      <c r="M137" s="6">
        <f t="shared" si="9"/>
        <v>45546</v>
      </c>
    </row>
    <row r="138" spans="1:13" x14ac:dyDescent="0.3">
      <c r="A138">
        <v>47</v>
      </c>
      <c r="B138" t="s">
        <v>367</v>
      </c>
      <c r="C138" t="s">
        <v>256</v>
      </c>
      <c r="D138" t="s">
        <v>53</v>
      </c>
      <c r="E138" t="s">
        <v>703</v>
      </c>
      <c r="F138" s="1" t="s">
        <v>608</v>
      </c>
      <c r="G138" s="6">
        <v>45870</v>
      </c>
      <c r="H138" s="26" t="s">
        <v>408</v>
      </c>
      <c r="I138" s="6">
        <f>G138+$O$1</f>
        <v>46050</v>
      </c>
      <c r="J138" s="26"/>
      <c r="K138" s="6">
        <f t="shared" si="8"/>
        <v>46230</v>
      </c>
      <c r="M138" s="6">
        <f t="shared" si="9"/>
        <v>46050</v>
      </c>
    </row>
    <row r="139" spans="1:13" x14ac:dyDescent="0.3">
      <c r="A139">
        <v>27</v>
      </c>
      <c r="B139" t="s">
        <v>364</v>
      </c>
      <c r="C139" t="s">
        <v>259</v>
      </c>
      <c r="D139" t="s">
        <v>57</v>
      </c>
      <c r="E139" t="s">
        <v>684</v>
      </c>
      <c r="F139" s="1" t="s">
        <v>608</v>
      </c>
      <c r="G139" s="6">
        <v>45800</v>
      </c>
      <c r="H139" s="22" t="s">
        <v>408</v>
      </c>
      <c r="I139" s="6">
        <v>46235</v>
      </c>
      <c r="J139" s="26" t="s">
        <v>1630</v>
      </c>
      <c r="K139" s="6">
        <f t="shared" si="8"/>
        <v>46415</v>
      </c>
      <c r="M139" s="6">
        <f t="shared" si="9"/>
        <v>46235</v>
      </c>
    </row>
    <row r="140" spans="1:13" x14ac:dyDescent="0.3">
      <c r="A140">
        <v>30</v>
      </c>
      <c r="B140" t="s">
        <v>367</v>
      </c>
      <c r="C140" t="s">
        <v>248</v>
      </c>
      <c r="D140" t="s">
        <v>45</v>
      </c>
      <c r="E140" t="s">
        <v>687</v>
      </c>
      <c r="F140" s="1" t="s">
        <v>620</v>
      </c>
      <c r="G140" s="6">
        <v>45708</v>
      </c>
      <c r="H140" s="22" t="s">
        <v>408</v>
      </c>
      <c r="I140" s="6">
        <f>G140+$O$1</f>
        <v>45888</v>
      </c>
      <c r="J140" s="26" t="s">
        <v>1631</v>
      </c>
      <c r="K140" s="6">
        <f t="shared" si="8"/>
        <v>46068</v>
      </c>
      <c r="M140" s="6">
        <f t="shared" si="9"/>
        <v>45888</v>
      </c>
    </row>
    <row r="141" spans="1:13" x14ac:dyDescent="0.3">
      <c r="A141">
        <v>40</v>
      </c>
      <c r="B141" t="s">
        <v>365</v>
      </c>
      <c r="C141" t="s">
        <v>221</v>
      </c>
      <c r="D141" t="s">
        <v>31</v>
      </c>
      <c r="E141" t="s">
        <v>696</v>
      </c>
      <c r="F141" s="1" t="s">
        <v>626</v>
      </c>
      <c r="G141" s="6">
        <v>45589</v>
      </c>
      <c r="H141" s="22" t="s">
        <v>408</v>
      </c>
      <c r="I141" s="6">
        <v>45897</v>
      </c>
      <c r="J141" s="22" t="s">
        <v>408</v>
      </c>
      <c r="K141" s="6">
        <f t="shared" si="8"/>
        <v>46077</v>
      </c>
      <c r="M141" s="6">
        <f t="shared" si="9"/>
        <v>46077</v>
      </c>
    </row>
    <row r="142" spans="1:13" x14ac:dyDescent="0.3">
      <c r="A142">
        <v>44</v>
      </c>
      <c r="B142" t="s">
        <v>365</v>
      </c>
      <c r="C142" t="s">
        <v>221</v>
      </c>
      <c r="D142" t="s">
        <v>16</v>
      </c>
      <c r="E142" t="s">
        <v>700</v>
      </c>
      <c r="F142" s="1" t="s">
        <v>608</v>
      </c>
      <c r="G142" s="6">
        <v>45499</v>
      </c>
      <c r="H142" s="22" t="s">
        <v>408</v>
      </c>
      <c r="I142" s="6">
        <f>G142+$O$1</f>
        <v>45679</v>
      </c>
      <c r="K142" s="6">
        <f t="shared" si="8"/>
        <v>45859</v>
      </c>
      <c r="M142" s="6">
        <f t="shared" si="9"/>
        <v>45679</v>
      </c>
    </row>
    <row r="143" spans="1:13" x14ac:dyDescent="0.3">
      <c r="A143">
        <v>38</v>
      </c>
      <c r="B143" t="s">
        <v>363</v>
      </c>
      <c r="C143" t="s">
        <v>234</v>
      </c>
      <c r="D143" t="s">
        <v>29</v>
      </c>
      <c r="E143" t="s">
        <v>694</v>
      </c>
      <c r="F143" s="1" t="s">
        <v>625</v>
      </c>
      <c r="G143" s="6">
        <v>45518</v>
      </c>
      <c r="H143" s="26" t="s">
        <v>408</v>
      </c>
      <c r="I143" s="6">
        <f>G143+$O$1</f>
        <v>45698</v>
      </c>
      <c r="K143" s="6">
        <f t="shared" si="8"/>
        <v>45878</v>
      </c>
      <c r="M143" s="6">
        <f t="shared" si="9"/>
        <v>45698</v>
      </c>
    </row>
    <row r="144" spans="1:13" x14ac:dyDescent="0.3">
      <c r="A144">
        <v>32</v>
      </c>
      <c r="B144" t="s">
        <v>368</v>
      </c>
      <c r="C144" t="s">
        <v>246</v>
      </c>
      <c r="D144" t="s">
        <v>43</v>
      </c>
      <c r="E144" t="e">
        <v>#N/A</v>
      </c>
      <c r="F144" s="1" t="s">
        <v>608</v>
      </c>
      <c r="G144" s="6">
        <v>45810</v>
      </c>
      <c r="H144" s="22" t="s">
        <v>408</v>
      </c>
      <c r="I144" s="6">
        <v>46107</v>
      </c>
      <c r="J144" s="22" t="s">
        <v>408</v>
      </c>
      <c r="K144" s="6">
        <f t="shared" si="8"/>
        <v>46287</v>
      </c>
      <c r="M144" s="6">
        <f t="shared" si="9"/>
        <v>46287</v>
      </c>
    </row>
    <row r="145" spans="1:13" x14ac:dyDescent="0.3">
      <c r="A145">
        <v>21</v>
      </c>
      <c r="B145" t="s">
        <v>367</v>
      </c>
      <c r="C145" t="s">
        <v>244</v>
      </c>
      <c r="D145" t="s">
        <v>41</v>
      </c>
      <c r="E145" t="s">
        <v>680</v>
      </c>
      <c r="F145" s="1" t="s">
        <v>613</v>
      </c>
      <c r="G145" s="6">
        <v>45674</v>
      </c>
      <c r="H145" s="22" t="s">
        <v>408</v>
      </c>
      <c r="I145" s="6">
        <v>45904</v>
      </c>
      <c r="J145" s="22" t="s">
        <v>408</v>
      </c>
      <c r="K145" s="6">
        <f t="shared" si="8"/>
        <v>46084</v>
      </c>
      <c r="M145" s="6">
        <f t="shared" si="9"/>
        <v>46084</v>
      </c>
    </row>
    <row r="146" spans="1:13" x14ac:dyDescent="0.3">
      <c r="A146">
        <v>28</v>
      </c>
      <c r="B146" t="s">
        <v>362</v>
      </c>
      <c r="C146" t="s">
        <v>242</v>
      </c>
      <c r="D146" t="s">
        <v>39</v>
      </c>
      <c r="E146" t="s">
        <v>685</v>
      </c>
      <c r="F146" s="1" t="s">
        <v>614</v>
      </c>
      <c r="G146" s="6">
        <v>45832</v>
      </c>
      <c r="H146" s="22" t="s">
        <v>408</v>
      </c>
      <c r="I146" s="6">
        <v>46365</v>
      </c>
      <c r="J146" s="22" t="s">
        <v>408</v>
      </c>
      <c r="K146" s="6">
        <f t="shared" si="8"/>
        <v>46545</v>
      </c>
      <c r="M146" s="6">
        <f t="shared" si="9"/>
        <v>46545</v>
      </c>
    </row>
    <row r="147" spans="1:13" x14ac:dyDescent="0.3">
      <c r="A147">
        <v>22</v>
      </c>
      <c r="B147" t="s">
        <v>367</v>
      </c>
      <c r="C147" t="s">
        <v>247</v>
      </c>
      <c r="D147" t="s">
        <v>44</v>
      </c>
      <c r="E147" t="s">
        <v>681</v>
      </c>
      <c r="F147" s="1" t="s">
        <v>610</v>
      </c>
      <c r="G147" s="6">
        <v>45717</v>
      </c>
      <c r="H147" s="22" t="s">
        <v>408</v>
      </c>
      <c r="I147" s="6">
        <v>45880</v>
      </c>
      <c r="J147" s="22" t="s">
        <v>408</v>
      </c>
      <c r="K147" s="6">
        <f t="shared" si="8"/>
        <v>46060</v>
      </c>
      <c r="L147" s="26"/>
      <c r="M147" s="6">
        <f t="shared" si="9"/>
        <v>46060</v>
      </c>
    </row>
    <row r="148" spans="1:13" x14ac:dyDescent="0.3">
      <c r="A148">
        <v>65</v>
      </c>
      <c r="B148" t="s">
        <v>362</v>
      </c>
      <c r="C148" t="s">
        <v>233</v>
      </c>
      <c r="D148" t="s">
        <v>28</v>
      </c>
      <c r="E148" t="s">
        <v>720</v>
      </c>
      <c r="F148" s="1" t="s">
        <v>631</v>
      </c>
      <c r="G148" s="6">
        <v>45739</v>
      </c>
      <c r="H148" s="22" t="s">
        <v>408</v>
      </c>
      <c r="I148" s="6">
        <v>45869</v>
      </c>
      <c r="J148" s="22" t="s">
        <v>408</v>
      </c>
      <c r="K148" s="6">
        <f t="shared" si="8"/>
        <v>46049</v>
      </c>
      <c r="L148" s="26"/>
      <c r="M148" s="6">
        <f t="shared" si="9"/>
        <v>46049</v>
      </c>
    </row>
    <row r="149" spans="1:13" x14ac:dyDescent="0.3">
      <c r="A149">
        <v>43</v>
      </c>
      <c r="B149" t="s">
        <v>362</v>
      </c>
      <c r="C149" t="s">
        <v>230</v>
      </c>
      <c r="D149" t="s">
        <v>25</v>
      </c>
      <c r="E149" t="s">
        <v>699</v>
      </c>
      <c r="F149" s="1" t="s">
        <v>613</v>
      </c>
      <c r="G149" s="6">
        <v>45783</v>
      </c>
      <c r="H149" s="22" t="s">
        <v>408</v>
      </c>
      <c r="I149" s="6">
        <f>G149+$O$1</f>
        <v>45963</v>
      </c>
      <c r="J149" s="29"/>
      <c r="K149" s="6">
        <f t="shared" si="8"/>
        <v>46143</v>
      </c>
      <c r="M149" s="6">
        <f t="shared" si="9"/>
        <v>45963</v>
      </c>
    </row>
    <row r="150" spans="1:13" x14ac:dyDescent="0.3">
      <c r="A150">
        <v>19</v>
      </c>
      <c r="B150" t="s">
        <v>362</v>
      </c>
      <c r="C150" t="s">
        <v>215</v>
      </c>
      <c r="D150" t="s">
        <v>10</v>
      </c>
      <c r="E150" t="s">
        <v>678</v>
      </c>
      <c r="F150" s="1" t="s">
        <v>617</v>
      </c>
      <c r="G150" s="6">
        <v>45645</v>
      </c>
      <c r="H150" s="26"/>
      <c r="I150" s="6">
        <f>G150+$O$1</f>
        <v>45825</v>
      </c>
      <c r="K150" s="6">
        <f t="shared" si="8"/>
        <v>46005</v>
      </c>
      <c r="M150" s="6">
        <f t="shared" si="9"/>
        <v>45645</v>
      </c>
    </row>
    <row r="151" spans="1:13" x14ac:dyDescent="0.3">
      <c r="A151">
        <v>41</v>
      </c>
      <c r="B151" t="s">
        <v>362</v>
      </c>
      <c r="C151" t="s">
        <v>241</v>
      </c>
      <c r="D151" t="s">
        <v>37</v>
      </c>
      <c r="E151" t="s">
        <v>697</v>
      </c>
      <c r="F151" s="1" t="s">
        <v>615</v>
      </c>
      <c r="G151" s="6">
        <v>45695</v>
      </c>
      <c r="H151" s="22" t="s">
        <v>408</v>
      </c>
      <c r="I151" s="6">
        <v>45894</v>
      </c>
      <c r="J151" s="22" t="s">
        <v>408</v>
      </c>
      <c r="K151" s="6">
        <f t="shared" si="8"/>
        <v>46074</v>
      </c>
      <c r="L151" s="26"/>
      <c r="M151" s="6">
        <f t="shared" si="9"/>
        <v>46074</v>
      </c>
    </row>
    <row r="152" spans="1:13" x14ac:dyDescent="0.3">
      <c r="A152">
        <v>35</v>
      </c>
      <c r="B152" t="s">
        <v>362</v>
      </c>
      <c r="C152" t="s">
        <v>235</v>
      </c>
      <c r="D152" t="s">
        <v>30</v>
      </c>
      <c r="E152" t="s">
        <v>691</v>
      </c>
      <c r="F152" s="1" t="s">
        <v>622</v>
      </c>
      <c r="G152" s="6">
        <v>45622</v>
      </c>
      <c r="H152" s="22" t="s">
        <v>408</v>
      </c>
      <c r="I152" s="6">
        <f>G152+$O$1</f>
        <v>45802</v>
      </c>
      <c r="K152" s="6">
        <f t="shared" si="8"/>
        <v>45982</v>
      </c>
      <c r="M152" s="6">
        <f t="shared" si="9"/>
        <v>45802</v>
      </c>
    </row>
    <row r="153" spans="1:13" x14ac:dyDescent="0.3">
      <c r="A153">
        <v>25</v>
      </c>
      <c r="B153" t="s">
        <v>362</v>
      </c>
      <c r="C153" t="s">
        <v>240</v>
      </c>
      <c r="D153" t="s">
        <v>36</v>
      </c>
      <c r="E153" t="s">
        <v>683</v>
      </c>
      <c r="F153" s="1" t="s">
        <v>619</v>
      </c>
      <c r="G153" s="6">
        <v>45374</v>
      </c>
      <c r="H153" s="6" t="s">
        <v>408</v>
      </c>
      <c r="I153" s="6">
        <f>G153+$O$1</f>
        <v>45554</v>
      </c>
      <c r="K153" s="6">
        <f t="shared" si="8"/>
        <v>45734</v>
      </c>
      <c r="M153" s="6">
        <f t="shared" si="9"/>
        <v>45554</v>
      </c>
    </row>
    <row r="154" spans="1:13" x14ac:dyDescent="0.3">
      <c r="A154">
        <v>34</v>
      </c>
      <c r="B154" t="s">
        <v>362</v>
      </c>
      <c r="C154" t="s">
        <v>239</v>
      </c>
      <c r="D154" t="s">
        <v>35</v>
      </c>
      <c r="E154" t="s">
        <v>690</v>
      </c>
      <c r="F154" s="1" t="s">
        <v>623</v>
      </c>
      <c r="G154" s="6">
        <v>45229</v>
      </c>
      <c r="H154" s="22" t="s">
        <v>408</v>
      </c>
      <c r="I154" s="6">
        <v>45883</v>
      </c>
      <c r="J154" s="22" t="s">
        <v>408</v>
      </c>
      <c r="K154" s="6">
        <f t="shared" si="8"/>
        <v>46063</v>
      </c>
      <c r="M154" s="6">
        <f t="shared" si="9"/>
        <v>46063</v>
      </c>
    </row>
    <row r="155" spans="1:13" x14ac:dyDescent="0.3">
      <c r="A155">
        <v>58</v>
      </c>
      <c r="B155" t="s">
        <v>364</v>
      </c>
      <c r="C155" t="s">
        <v>238</v>
      </c>
      <c r="D155" t="s">
        <v>34</v>
      </c>
      <c r="E155" t="s">
        <v>713</v>
      </c>
      <c r="F155" s="1" t="s">
        <v>629</v>
      </c>
      <c r="G155" s="6">
        <v>45992</v>
      </c>
      <c r="H155" s="22" t="s">
        <v>408</v>
      </c>
      <c r="I155" s="6">
        <f>G155+$O$1</f>
        <v>46172</v>
      </c>
      <c r="J155" s="26"/>
      <c r="K155" s="6">
        <f t="shared" si="8"/>
        <v>46352</v>
      </c>
      <c r="M155" s="6">
        <f t="shared" si="9"/>
        <v>46172</v>
      </c>
    </row>
    <row r="156" spans="1:13" x14ac:dyDescent="0.3">
      <c r="A156">
        <v>17</v>
      </c>
      <c r="B156" t="s">
        <v>362</v>
      </c>
      <c r="C156" t="s">
        <v>237</v>
      </c>
      <c r="D156" t="s">
        <v>33</v>
      </c>
      <c r="E156" t="s">
        <v>677</v>
      </c>
      <c r="F156" s="1" t="s">
        <v>615</v>
      </c>
      <c r="G156" s="6">
        <v>45812</v>
      </c>
      <c r="H156" s="22" t="s">
        <v>408</v>
      </c>
      <c r="I156" s="6">
        <f>G156+$O$1</f>
        <v>45992</v>
      </c>
      <c r="J156" s="26"/>
      <c r="K156" s="6">
        <f t="shared" si="8"/>
        <v>46172</v>
      </c>
      <c r="M156" s="6">
        <f t="shared" si="9"/>
        <v>45992</v>
      </c>
    </row>
    <row r="157" spans="1:13" x14ac:dyDescent="0.3">
      <c r="A157">
        <v>49</v>
      </c>
      <c r="B157" t="s">
        <v>364</v>
      </c>
      <c r="C157" t="s">
        <v>218</v>
      </c>
      <c r="D157" t="s">
        <v>13</v>
      </c>
      <c r="E157" t="s">
        <v>705</v>
      </c>
      <c r="F157" s="1" t="s">
        <v>617</v>
      </c>
      <c r="G157" s="6">
        <v>45614</v>
      </c>
      <c r="H157" s="32" t="s">
        <v>408</v>
      </c>
      <c r="I157" s="6">
        <v>45838</v>
      </c>
      <c r="J157" s="22" t="s">
        <v>408</v>
      </c>
      <c r="K157" s="6">
        <f t="shared" si="8"/>
        <v>46018</v>
      </c>
      <c r="M157" s="6">
        <f t="shared" si="9"/>
        <v>46018</v>
      </c>
    </row>
    <row r="158" spans="1:13" x14ac:dyDescent="0.3">
      <c r="A158">
        <v>2</v>
      </c>
      <c r="B158" t="s">
        <v>365</v>
      </c>
      <c r="C158" t="s">
        <v>227</v>
      </c>
      <c r="D158" t="s">
        <v>22</v>
      </c>
      <c r="E158" t="s">
        <v>663</v>
      </c>
      <c r="F158" s="1" t="s">
        <v>607</v>
      </c>
      <c r="G158" s="6">
        <v>45620</v>
      </c>
      <c r="H158" s="6" t="s">
        <v>408</v>
      </c>
      <c r="I158" s="6">
        <f>G158+$O$1</f>
        <v>45800</v>
      </c>
      <c r="K158" s="6">
        <f t="shared" si="8"/>
        <v>45980</v>
      </c>
      <c r="M158" s="6">
        <f t="shared" si="9"/>
        <v>45800</v>
      </c>
    </row>
    <row r="159" spans="1:13" x14ac:dyDescent="0.3">
      <c r="A159">
        <v>16</v>
      </c>
      <c r="B159" t="s">
        <v>364</v>
      </c>
      <c r="C159" t="s">
        <v>236</v>
      </c>
      <c r="D159" t="s">
        <v>32</v>
      </c>
      <c r="E159" t="s">
        <v>676</v>
      </c>
      <c r="F159" s="1" t="s">
        <v>610</v>
      </c>
      <c r="G159" s="6">
        <v>44979</v>
      </c>
      <c r="H159" s="22" t="s">
        <v>408</v>
      </c>
      <c r="I159" s="6">
        <f>G159+$O$1</f>
        <v>45159</v>
      </c>
      <c r="K159" s="6">
        <f t="shared" si="8"/>
        <v>45339</v>
      </c>
      <c r="M159" s="6">
        <f t="shared" si="9"/>
        <v>45159</v>
      </c>
    </row>
    <row r="160" spans="1:13" x14ac:dyDescent="0.3">
      <c r="A160">
        <v>15</v>
      </c>
      <c r="B160" t="s">
        <v>364</v>
      </c>
      <c r="C160" t="s">
        <v>229</v>
      </c>
      <c r="D160" t="s">
        <v>24</v>
      </c>
      <c r="E160" t="s">
        <v>675</v>
      </c>
      <c r="F160" s="1" t="s">
        <v>608</v>
      </c>
      <c r="G160" s="6">
        <v>45737</v>
      </c>
      <c r="H160" s="22" t="s">
        <v>408</v>
      </c>
      <c r="I160" s="6">
        <v>46042</v>
      </c>
      <c r="J160" s="22" t="s">
        <v>408</v>
      </c>
      <c r="K160" s="6">
        <f t="shared" si="8"/>
        <v>46222</v>
      </c>
      <c r="M160" s="6">
        <f t="shared" si="9"/>
        <v>46222</v>
      </c>
    </row>
    <row r="161" spans="1:13" x14ac:dyDescent="0.3">
      <c r="A161">
        <v>9</v>
      </c>
      <c r="B161" t="s">
        <v>362</v>
      </c>
      <c r="C161" t="s">
        <v>225</v>
      </c>
      <c r="D161" t="s">
        <v>20</v>
      </c>
      <c r="E161" t="s">
        <v>670</v>
      </c>
      <c r="F161" s="1" t="s">
        <v>610</v>
      </c>
      <c r="G161" s="6">
        <v>45800</v>
      </c>
      <c r="H161" s="22" t="s">
        <v>408</v>
      </c>
      <c r="I161" s="6">
        <v>46121</v>
      </c>
      <c r="J161" s="22" t="s">
        <v>659</v>
      </c>
      <c r="K161" s="6">
        <f t="shared" si="8"/>
        <v>46301</v>
      </c>
      <c r="M161" s="6">
        <f t="shared" si="9"/>
        <v>46301</v>
      </c>
    </row>
    <row r="162" spans="1:13" x14ac:dyDescent="0.3">
      <c r="A162">
        <v>1</v>
      </c>
      <c r="B162" t="s">
        <v>362</v>
      </c>
      <c r="C162" t="s">
        <v>228</v>
      </c>
      <c r="D162" t="s">
        <v>23</v>
      </c>
      <c r="E162" t="s">
        <v>662</v>
      </c>
      <c r="F162" s="1" t="s">
        <v>618</v>
      </c>
      <c r="G162" s="6">
        <v>45618</v>
      </c>
      <c r="H162" s="26" t="s">
        <v>408</v>
      </c>
      <c r="I162" s="6">
        <f>G162+$O$1</f>
        <v>45798</v>
      </c>
      <c r="K162" s="6">
        <f t="shared" si="8"/>
        <v>45978</v>
      </c>
      <c r="M162" s="6">
        <f t="shared" si="9"/>
        <v>45798</v>
      </c>
    </row>
    <row r="163" spans="1:13" x14ac:dyDescent="0.3">
      <c r="A163">
        <v>57</v>
      </c>
      <c r="B163" t="s">
        <v>365</v>
      </c>
      <c r="C163" t="s">
        <v>232</v>
      </c>
      <c r="D163" t="s">
        <v>27</v>
      </c>
      <c r="E163" t="s">
        <v>712</v>
      </c>
      <c r="F163" s="1" t="s">
        <v>608</v>
      </c>
      <c r="G163" s="6">
        <v>45612</v>
      </c>
      <c r="H163" s="22" t="s">
        <v>408</v>
      </c>
      <c r="I163" s="6">
        <v>45853</v>
      </c>
      <c r="J163" s="22" t="s">
        <v>408</v>
      </c>
      <c r="K163" s="6">
        <f t="shared" si="8"/>
        <v>46033</v>
      </c>
      <c r="M163" s="6">
        <f t="shared" si="9"/>
        <v>46033</v>
      </c>
    </row>
    <row r="164" spans="1:13" x14ac:dyDescent="0.3">
      <c r="A164">
        <v>11</v>
      </c>
      <c r="B164" t="s">
        <v>362</v>
      </c>
      <c r="C164" t="s">
        <v>226</v>
      </c>
      <c r="D164" t="s">
        <v>21</v>
      </c>
      <c r="E164" t="e">
        <v>#N/A</v>
      </c>
      <c r="F164" s="1" t="s">
        <v>612</v>
      </c>
      <c r="G164" s="6">
        <v>45736</v>
      </c>
      <c r="H164" s="22" t="s">
        <v>408</v>
      </c>
      <c r="I164" s="6">
        <v>45947</v>
      </c>
      <c r="J164" s="22" t="s">
        <v>408</v>
      </c>
      <c r="K164" s="6">
        <f t="shared" si="8"/>
        <v>46127</v>
      </c>
      <c r="M164" s="6">
        <f t="shared" si="9"/>
        <v>46127</v>
      </c>
    </row>
    <row r="165" spans="1:13" x14ac:dyDescent="0.3">
      <c r="A165">
        <v>31</v>
      </c>
      <c r="B165" t="s">
        <v>364</v>
      </c>
      <c r="C165" t="s">
        <v>223</v>
      </c>
      <c r="D165" t="s">
        <v>18</v>
      </c>
      <c r="E165" t="s">
        <v>688</v>
      </c>
      <c r="F165" s="1" t="s">
        <v>621</v>
      </c>
      <c r="G165" s="6">
        <v>0</v>
      </c>
      <c r="H165" s="6" t="s">
        <v>408</v>
      </c>
      <c r="I165" s="6">
        <f t="shared" ref="I165:I179" si="10">G165+$O$1</f>
        <v>180</v>
      </c>
      <c r="K165" s="6">
        <f t="shared" si="8"/>
        <v>360</v>
      </c>
      <c r="M165" s="6">
        <f t="shared" si="9"/>
        <v>180</v>
      </c>
    </row>
    <row r="166" spans="1:13" x14ac:dyDescent="0.3">
      <c r="A166">
        <v>18</v>
      </c>
      <c r="B166" t="s">
        <v>363</v>
      </c>
      <c r="C166" t="s">
        <v>212</v>
      </c>
      <c r="D166" t="s">
        <v>7</v>
      </c>
      <c r="E166" t="e">
        <v>#N/A</v>
      </c>
      <c r="F166" s="1" t="s">
        <v>616</v>
      </c>
      <c r="G166" s="6">
        <v>45122</v>
      </c>
      <c r="H166" s="30" t="s">
        <v>408</v>
      </c>
      <c r="I166" s="6">
        <f t="shared" si="10"/>
        <v>45302</v>
      </c>
      <c r="J166" s="26"/>
      <c r="K166" s="6">
        <f t="shared" si="8"/>
        <v>45482</v>
      </c>
      <c r="M166" s="6">
        <f t="shared" si="9"/>
        <v>45302</v>
      </c>
    </row>
    <row r="167" spans="1:13" x14ac:dyDescent="0.3">
      <c r="A167">
        <v>10</v>
      </c>
      <c r="B167" t="s">
        <v>362</v>
      </c>
      <c r="C167" t="s">
        <v>222</v>
      </c>
      <c r="D167" t="s">
        <v>17</v>
      </c>
      <c r="E167" t="s">
        <v>671</v>
      </c>
      <c r="F167" s="1" t="s">
        <v>610</v>
      </c>
      <c r="G167" s="6">
        <v>45798</v>
      </c>
      <c r="H167" s="22" t="s">
        <v>408</v>
      </c>
      <c r="I167" s="6">
        <v>46366</v>
      </c>
      <c r="J167" s="22" t="s">
        <v>659</v>
      </c>
      <c r="K167" s="6">
        <f t="shared" si="8"/>
        <v>46546</v>
      </c>
      <c r="M167" s="6">
        <f t="shared" si="9"/>
        <v>46546</v>
      </c>
    </row>
    <row r="168" spans="1:13" x14ac:dyDescent="0.3">
      <c r="A168">
        <v>13</v>
      </c>
      <c r="B168" t="s">
        <v>362</v>
      </c>
      <c r="C168" t="s">
        <v>224</v>
      </c>
      <c r="D168" t="s">
        <v>19</v>
      </c>
      <c r="E168" t="s">
        <v>673</v>
      </c>
      <c r="F168" s="1" t="s">
        <v>614</v>
      </c>
      <c r="G168" s="6">
        <v>45794</v>
      </c>
      <c r="H168" s="22" t="s">
        <v>408</v>
      </c>
      <c r="I168" s="6">
        <v>46334</v>
      </c>
      <c r="J168" s="22" t="s">
        <v>659</v>
      </c>
      <c r="K168" s="6">
        <f t="shared" si="8"/>
        <v>46514</v>
      </c>
      <c r="M168" s="6">
        <f t="shared" si="9"/>
        <v>46514</v>
      </c>
    </row>
    <row r="169" spans="1:13" x14ac:dyDescent="0.3">
      <c r="A169">
        <v>7</v>
      </c>
      <c r="B169" t="s">
        <v>362</v>
      </c>
      <c r="C169" t="s">
        <v>219</v>
      </c>
      <c r="D169" t="s">
        <v>14</v>
      </c>
      <c r="E169" t="s">
        <v>668</v>
      </c>
      <c r="F169" s="1" t="s">
        <v>611</v>
      </c>
      <c r="G169" s="6">
        <v>45499</v>
      </c>
      <c r="H169" s="22" t="s">
        <v>408</v>
      </c>
      <c r="I169" s="6">
        <f t="shared" si="10"/>
        <v>45679</v>
      </c>
      <c r="J169" s="26" t="s">
        <v>1601</v>
      </c>
      <c r="K169" s="6">
        <f>I169+$O$1</f>
        <v>45859</v>
      </c>
      <c r="M169" s="6">
        <f t="shared" si="9"/>
        <v>45679</v>
      </c>
    </row>
    <row r="170" spans="1:13" x14ac:dyDescent="0.3">
      <c r="A170">
        <v>12</v>
      </c>
      <c r="B170" t="s">
        <v>362</v>
      </c>
      <c r="C170" t="s">
        <v>216</v>
      </c>
      <c r="D170" t="s">
        <v>11</v>
      </c>
      <c r="E170" t="s">
        <v>672</v>
      </c>
      <c r="F170" s="1" t="s">
        <v>613</v>
      </c>
      <c r="G170" s="6">
        <v>45776</v>
      </c>
      <c r="H170" s="22" t="s">
        <v>408</v>
      </c>
      <c r="I170" s="6">
        <f t="shared" si="10"/>
        <v>45956</v>
      </c>
      <c r="J170" s="26"/>
      <c r="K170" s="6">
        <f t="shared" si="8"/>
        <v>46136</v>
      </c>
      <c r="M170" s="6">
        <f t="shared" si="9"/>
        <v>45956</v>
      </c>
    </row>
    <row r="171" spans="1:13" x14ac:dyDescent="0.3">
      <c r="A171">
        <v>24</v>
      </c>
      <c r="B171" t="s">
        <v>363</v>
      </c>
      <c r="C171" t="s">
        <v>217</v>
      </c>
      <c r="D171" t="s">
        <v>12</v>
      </c>
      <c r="E171" t="s">
        <v>682</v>
      </c>
      <c r="F171" s="1" t="s">
        <v>610</v>
      </c>
      <c r="G171" s="6">
        <v>45833</v>
      </c>
      <c r="H171" s="22" t="s">
        <v>408</v>
      </c>
      <c r="I171" s="6">
        <v>46062</v>
      </c>
      <c r="J171" s="22" t="s">
        <v>408</v>
      </c>
      <c r="K171" s="6">
        <f t="shared" si="8"/>
        <v>46242</v>
      </c>
      <c r="M171" s="6">
        <f t="shared" si="9"/>
        <v>46242</v>
      </c>
    </row>
    <row r="172" spans="1:13" x14ac:dyDescent="0.3">
      <c r="A172">
        <v>6</v>
      </c>
      <c r="B172" t="s">
        <v>362</v>
      </c>
      <c r="C172" t="s">
        <v>214</v>
      </c>
      <c r="D172" t="s">
        <v>9</v>
      </c>
      <c r="E172" t="s">
        <v>667</v>
      </c>
      <c r="F172" s="1" t="s">
        <v>610</v>
      </c>
      <c r="G172" s="6">
        <v>45685</v>
      </c>
      <c r="H172" s="22" t="s">
        <v>408</v>
      </c>
      <c r="I172" s="6">
        <v>46013</v>
      </c>
      <c r="J172" s="22" t="s">
        <v>408</v>
      </c>
      <c r="K172" s="6">
        <f t="shared" si="8"/>
        <v>46193</v>
      </c>
      <c r="M172" s="6">
        <f t="shared" si="9"/>
        <v>46193</v>
      </c>
    </row>
    <row r="173" spans="1:13" x14ac:dyDescent="0.3">
      <c r="A173">
        <v>8</v>
      </c>
      <c r="B173" t="s">
        <v>362</v>
      </c>
      <c r="C173" t="s">
        <v>213</v>
      </c>
      <c r="D173" t="s">
        <v>8</v>
      </c>
      <c r="E173" t="s">
        <v>669</v>
      </c>
      <c r="F173" s="1" t="s">
        <v>610</v>
      </c>
      <c r="G173" s="6">
        <v>45759</v>
      </c>
      <c r="H173" s="22" t="s">
        <v>408</v>
      </c>
      <c r="I173" s="6">
        <v>45964</v>
      </c>
      <c r="J173" s="22" t="s">
        <v>408</v>
      </c>
      <c r="K173" s="6">
        <f t="shared" si="8"/>
        <v>46144</v>
      </c>
      <c r="M173" s="6">
        <f t="shared" si="9"/>
        <v>46144</v>
      </c>
    </row>
    <row r="174" spans="1:13" x14ac:dyDescent="0.3">
      <c r="A174">
        <v>20</v>
      </c>
      <c r="B174" t="s">
        <v>362</v>
      </c>
      <c r="C174" t="s">
        <v>211</v>
      </c>
      <c r="D174" t="s">
        <v>6</v>
      </c>
      <c r="E174" t="s">
        <v>679</v>
      </c>
      <c r="F174" s="1" t="s">
        <v>618</v>
      </c>
      <c r="G174" s="6">
        <v>45496</v>
      </c>
      <c r="H174" s="6" t="s">
        <v>408</v>
      </c>
      <c r="I174" s="6">
        <f t="shared" si="10"/>
        <v>45676</v>
      </c>
      <c r="K174" s="6">
        <f t="shared" si="8"/>
        <v>45856</v>
      </c>
      <c r="M174" s="6">
        <f t="shared" si="9"/>
        <v>45676</v>
      </c>
    </row>
    <row r="175" spans="1:13" x14ac:dyDescent="0.3">
      <c r="A175">
        <v>4</v>
      </c>
      <c r="B175" t="s">
        <v>363</v>
      </c>
      <c r="C175" t="s">
        <v>209</v>
      </c>
      <c r="D175" t="s">
        <v>4</v>
      </c>
      <c r="E175" t="s">
        <v>665</v>
      </c>
      <c r="F175" s="1" t="s">
        <v>609</v>
      </c>
      <c r="G175" s="6">
        <v>45176</v>
      </c>
      <c r="H175" s="6" t="s">
        <v>408</v>
      </c>
      <c r="I175" s="6">
        <f t="shared" si="10"/>
        <v>45356</v>
      </c>
      <c r="K175" s="6">
        <f t="shared" si="8"/>
        <v>45536</v>
      </c>
      <c r="M175" s="6">
        <f t="shared" si="9"/>
        <v>45356</v>
      </c>
    </row>
    <row r="176" spans="1:13" x14ac:dyDescent="0.3">
      <c r="A176">
        <v>23</v>
      </c>
      <c r="B176" t="s">
        <v>362</v>
      </c>
      <c r="C176" t="s">
        <v>210</v>
      </c>
      <c r="D176" t="s">
        <v>5</v>
      </c>
      <c r="E176" t="s">
        <v>674</v>
      </c>
      <c r="F176" s="1" t="s">
        <v>608</v>
      </c>
      <c r="G176" s="6">
        <v>45540</v>
      </c>
      <c r="H176" s="22" t="s">
        <v>408</v>
      </c>
      <c r="I176" s="6">
        <f t="shared" si="10"/>
        <v>45720</v>
      </c>
      <c r="K176" s="6">
        <f t="shared" si="8"/>
        <v>45900</v>
      </c>
      <c r="M176" s="6">
        <f t="shared" si="9"/>
        <v>45720</v>
      </c>
    </row>
    <row r="177" spans="1:13" x14ac:dyDescent="0.3">
      <c r="A177">
        <v>14</v>
      </c>
      <c r="B177" t="s">
        <v>362</v>
      </c>
      <c r="C177" t="s">
        <v>424</v>
      </c>
      <c r="D177" t="s">
        <v>5</v>
      </c>
      <c r="E177" t="s">
        <v>674</v>
      </c>
      <c r="F177" s="1" t="s">
        <v>608</v>
      </c>
      <c r="G177" s="6">
        <v>45540</v>
      </c>
      <c r="H177" s="22" t="s">
        <v>408</v>
      </c>
      <c r="I177" s="6">
        <f t="shared" si="10"/>
        <v>45720</v>
      </c>
      <c r="K177" s="6">
        <f t="shared" si="8"/>
        <v>45900</v>
      </c>
      <c r="M177" s="6">
        <f t="shared" si="9"/>
        <v>45720</v>
      </c>
    </row>
    <row r="178" spans="1:13" x14ac:dyDescent="0.3">
      <c r="A178">
        <v>3</v>
      </c>
      <c r="B178" t="s">
        <v>362</v>
      </c>
      <c r="C178" t="s">
        <v>208</v>
      </c>
      <c r="D178" t="s">
        <v>3</v>
      </c>
      <c r="E178" t="s">
        <v>664</v>
      </c>
      <c r="F178" s="1" t="s">
        <v>608</v>
      </c>
      <c r="G178" s="6">
        <v>45430</v>
      </c>
      <c r="H178" s="22" t="s">
        <v>408</v>
      </c>
      <c r="I178" s="6">
        <f t="shared" si="10"/>
        <v>45610</v>
      </c>
      <c r="K178" s="6">
        <f t="shared" si="8"/>
        <v>45790</v>
      </c>
      <c r="M178" s="6">
        <f t="shared" si="9"/>
        <v>45610</v>
      </c>
    </row>
    <row r="179" spans="1:13" x14ac:dyDescent="0.3">
      <c r="A179">
        <v>211</v>
      </c>
      <c r="B179" t="s">
        <v>364</v>
      </c>
      <c r="C179" t="s">
        <v>355</v>
      </c>
      <c r="D179" t="s">
        <v>193</v>
      </c>
      <c r="E179" t="s">
        <v>849</v>
      </c>
      <c r="F179" s="1" t="s">
        <v>649</v>
      </c>
      <c r="G179" s="6">
        <v>45575</v>
      </c>
      <c r="H179" s="22" t="s">
        <v>659</v>
      </c>
      <c r="I179" s="6">
        <f t="shared" si="10"/>
        <v>45755</v>
      </c>
      <c r="K179" s="6">
        <f t="shared" si="8"/>
        <v>45935</v>
      </c>
      <c r="M179" s="6">
        <f t="shared" si="9"/>
        <v>45755</v>
      </c>
    </row>
    <row r="180" spans="1:13" x14ac:dyDescent="0.3">
      <c r="A180">
        <v>305</v>
      </c>
      <c r="B180" t="s">
        <v>367</v>
      </c>
      <c r="C180" t="s">
        <v>584</v>
      </c>
      <c r="D180" t="s">
        <v>517</v>
      </c>
      <c r="E180" t="s">
        <v>921</v>
      </c>
      <c r="F180" s="1" t="s">
        <v>617</v>
      </c>
      <c r="G180" s="16">
        <v>45761</v>
      </c>
      <c r="H180" s="22" t="s">
        <v>659</v>
      </c>
      <c r="I180" s="6">
        <v>45945</v>
      </c>
      <c r="J180" s="26"/>
      <c r="K180" s="6">
        <f t="shared" si="8"/>
        <v>46125</v>
      </c>
      <c r="M180" s="6">
        <f t="shared" si="9"/>
        <v>45945</v>
      </c>
    </row>
    <row r="181" spans="1:13" x14ac:dyDescent="0.3">
      <c r="A181">
        <v>165</v>
      </c>
      <c r="B181" t="s">
        <v>368</v>
      </c>
      <c r="C181" t="s">
        <v>344</v>
      </c>
      <c r="D181" t="s">
        <v>932</v>
      </c>
      <c r="E181" t="s">
        <v>805</v>
      </c>
      <c r="F181" s="1" t="s">
        <v>610</v>
      </c>
      <c r="G181" s="6">
        <v>45759</v>
      </c>
      <c r="H181" s="22" t="s">
        <v>659</v>
      </c>
      <c r="I181" s="6">
        <v>45867</v>
      </c>
      <c r="J181" s="22" t="s">
        <v>408</v>
      </c>
      <c r="K181" s="6">
        <f t="shared" si="8"/>
        <v>46047</v>
      </c>
      <c r="L181" s="26"/>
      <c r="M181" s="6">
        <f t="shared" si="9"/>
        <v>46047</v>
      </c>
    </row>
    <row r="182" spans="1:13" x14ac:dyDescent="0.3">
      <c r="A182">
        <v>126</v>
      </c>
      <c r="B182" t="s">
        <v>368</v>
      </c>
      <c r="C182" t="s">
        <v>340</v>
      </c>
      <c r="D182" t="s">
        <v>145</v>
      </c>
      <c r="E182" t="s">
        <v>773</v>
      </c>
      <c r="F182" s="1" t="s">
        <v>617</v>
      </c>
      <c r="G182" s="6">
        <v>45762</v>
      </c>
      <c r="H182" s="22" t="s">
        <v>659</v>
      </c>
      <c r="I182" s="6">
        <v>46325</v>
      </c>
      <c r="J182" s="22" t="s">
        <v>408</v>
      </c>
      <c r="K182" s="6">
        <f t="shared" si="8"/>
        <v>46505</v>
      </c>
      <c r="L182" s="26" t="s">
        <v>1632</v>
      </c>
      <c r="M182" s="6">
        <f t="shared" si="9"/>
        <v>46505</v>
      </c>
    </row>
    <row r="183" spans="1:13" x14ac:dyDescent="0.3">
      <c r="A183">
        <v>139</v>
      </c>
      <c r="B183" t="s">
        <v>368</v>
      </c>
      <c r="C183" t="s">
        <v>342</v>
      </c>
      <c r="D183" t="s">
        <v>931</v>
      </c>
      <c r="E183" t="s">
        <v>786</v>
      </c>
      <c r="F183" s="1" t="s">
        <v>608</v>
      </c>
      <c r="G183" s="6">
        <v>45848</v>
      </c>
      <c r="H183" s="22" t="s">
        <v>408</v>
      </c>
      <c r="I183" s="6">
        <f t="shared" ref="I183:I197" si="11">G183+$O$1</f>
        <v>46028</v>
      </c>
      <c r="J183" s="26"/>
      <c r="K183" s="6">
        <f t="shared" si="8"/>
        <v>46208</v>
      </c>
      <c r="M183" s="6">
        <f t="shared" si="9"/>
        <v>46028</v>
      </c>
    </row>
    <row r="184" spans="1:13" x14ac:dyDescent="0.3">
      <c r="A184">
        <v>118</v>
      </c>
      <c r="B184" t="s">
        <v>384</v>
      </c>
      <c r="C184" t="s">
        <v>337</v>
      </c>
      <c r="D184" t="s">
        <v>140</v>
      </c>
      <c r="E184" t="s">
        <v>765</v>
      </c>
      <c r="F184" s="1" t="s">
        <v>639</v>
      </c>
      <c r="G184" s="6">
        <v>45881</v>
      </c>
      <c r="H184" s="22" t="s">
        <v>408</v>
      </c>
      <c r="I184" s="6">
        <f t="shared" si="11"/>
        <v>46061</v>
      </c>
      <c r="K184" s="6">
        <f t="shared" si="8"/>
        <v>46241</v>
      </c>
      <c r="M184" s="6">
        <f t="shared" si="9"/>
        <v>46061</v>
      </c>
    </row>
    <row r="185" spans="1:13" x14ac:dyDescent="0.3">
      <c r="A185">
        <v>125</v>
      </c>
      <c r="B185" t="s">
        <v>384</v>
      </c>
      <c r="C185" t="s">
        <v>338</v>
      </c>
      <c r="D185" t="s">
        <v>141</v>
      </c>
      <c r="E185" t="s">
        <v>772</v>
      </c>
      <c r="F185" s="1" t="s">
        <v>632</v>
      </c>
      <c r="G185" s="6">
        <v>45807</v>
      </c>
      <c r="H185" s="22" t="s">
        <v>408</v>
      </c>
      <c r="I185" s="6">
        <f t="shared" si="11"/>
        <v>45987</v>
      </c>
      <c r="J185" s="26"/>
      <c r="K185" s="6">
        <f t="shared" si="8"/>
        <v>46167</v>
      </c>
      <c r="M185" s="6">
        <f t="shared" si="9"/>
        <v>45987</v>
      </c>
    </row>
    <row r="186" spans="1:13" x14ac:dyDescent="0.3">
      <c r="A186">
        <v>187</v>
      </c>
      <c r="B186" t="s">
        <v>364</v>
      </c>
      <c r="C186" t="s">
        <v>331</v>
      </c>
      <c r="D186" t="s">
        <v>132</v>
      </c>
      <c r="E186" t="s">
        <v>825</v>
      </c>
      <c r="F186" s="1" t="s">
        <v>615</v>
      </c>
      <c r="G186" s="6">
        <v>45877</v>
      </c>
      <c r="H186" s="22" t="s">
        <v>408</v>
      </c>
      <c r="I186" s="6">
        <f t="shared" si="11"/>
        <v>46057</v>
      </c>
      <c r="J186" s="26"/>
      <c r="K186" s="6">
        <f t="shared" si="8"/>
        <v>46237</v>
      </c>
      <c r="M186" s="6">
        <f t="shared" si="9"/>
        <v>46057</v>
      </c>
    </row>
    <row r="187" spans="1:13" x14ac:dyDescent="0.3">
      <c r="A187">
        <v>140</v>
      </c>
      <c r="B187" t="s">
        <v>364</v>
      </c>
      <c r="C187" t="s">
        <v>330</v>
      </c>
      <c r="D187" t="s">
        <v>131</v>
      </c>
      <c r="E187" t="s">
        <v>787</v>
      </c>
      <c r="F187" s="1" t="s">
        <v>625</v>
      </c>
      <c r="G187" s="6">
        <v>45891</v>
      </c>
      <c r="H187" s="22" t="s">
        <v>408</v>
      </c>
      <c r="I187" s="6">
        <v>46125</v>
      </c>
      <c r="J187" s="26" t="s">
        <v>408</v>
      </c>
      <c r="K187" s="6">
        <f t="shared" si="8"/>
        <v>46305</v>
      </c>
      <c r="M187" s="6">
        <f t="shared" si="9"/>
        <v>46305</v>
      </c>
    </row>
    <row r="188" spans="1:13" x14ac:dyDescent="0.3">
      <c r="A188">
        <v>162</v>
      </c>
      <c r="B188" t="s">
        <v>367</v>
      </c>
      <c r="C188" t="s">
        <v>280</v>
      </c>
      <c r="D188" t="s">
        <v>78</v>
      </c>
      <c r="E188" t="s">
        <v>803</v>
      </c>
      <c r="F188" s="1" t="s">
        <v>615</v>
      </c>
      <c r="G188" s="6">
        <v>45847</v>
      </c>
      <c r="H188" s="22" t="s">
        <v>408</v>
      </c>
      <c r="I188" s="6">
        <f t="shared" si="11"/>
        <v>46027</v>
      </c>
      <c r="K188" s="6">
        <f t="shared" si="8"/>
        <v>46207</v>
      </c>
      <c r="M188" s="6">
        <f t="shared" si="9"/>
        <v>46027</v>
      </c>
    </row>
    <row r="189" spans="1:13" x14ac:dyDescent="0.3">
      <c r="A189">
        <v>148</v>
      </c>
      <c r="B189" t="s">
        <v>368</v>
      </c>
      <c r="C189" t="s">
        <v>343</v>
      </c>
      <c r="D189" t="s">
        <v>160</v>
      </c>
      <c r="E189" t="s">
        <v>793</v>
      </c>
      <c r="F189" s="1" t="s">
        <v>644</v>
      </c>
      <c r="G189" s="6">
        <v>45773</v>
      </c>
      <c r="H189" s="22" t="s">
        <v>408</v>
      </c>
      <c r="I189" s="6">
        <f t="shared" si="11"/>
        <v>45953</v>
      </c>
      <c r="J189" s="26"/>
      <c r="K189" s="6">
        <f t="shared" si="8"/>
        <v>46133</v>
      </c>
      <c r="M189" s="6">
        <f t="shared" si="9"/>
        <v>45953</v>
      </c>
    </row>
    <row r="190" spans="1:13" x14ac:dyDescent="0.3">
      <c r="A190">
        <v>160</v>
      </c>
      <c r="B190" t="s">
        <v>368</v>
      </c>
      <c r="C190" t="s">
        <v>326</v>
      </c>
      <c r="D190" t="s">
        <v>126</v>
      </c>
      <c r="E190" t="s">
        <v>802</v>
      </c>
      <c r="F190" s="1" t="s">
        <v>646</v>
      </c>
      <c r="G190" s="6">
        <v>46094</v>
      </c>
      <c r="H190" s="22" t="s">
        <v>408</v>
      </c>
      <c r="I190" s="6">
        <v>46093</v>
      </c>
      <c r="J190" s="22" t="s">
        <v>659</v>
      </c>
      <c r="K190" s="6">
        <f t="shared" si="8"/>
        <v>46273</v>
      </c>
      <c r="M190" s="6">
        <f t="shared" si="9"/>
        <v>46273</v>
      </c>
    </row>
    <row r="191" spans="1:13" x14ac:dyDescent="0.3">
      <c r="A191">
        <v>132</v>
      </c>
      <c r="B191" t="s">
        <v>368</v>
      </c>
      <c r="C191" t="s">
        <v>286</v>
      </c>
      <c r="D191" t="s">
        <v>87</v>
      </c>
      <c r="E191" t="s">
        <v>779</v>
      </c>
      <c r="F191" s="1" t="s">
        <v>634</v>
      </c>
      <c r="G191" s="6">
        <v>45852</v>
      </c>
      <c r="H191" s="22" t="s">
        <v>408</v>
      </c>
      <c r="I191" s="6">
        <v>46111</v>
      </c>
      <c r="J191" s="22" t="s">
        <v>659</v>
      </c>
      <c r="K191" s="6">
        <f t="shared" si="8"/>
        <v>46291</v>
      </c>
      <c r="M191" s="6">
        <f t="shared" si="9"/>
        <v>46291</v>
      </c>
    </row>
    <row r="192" spans="1:13" x14ac:dyDescent="0.3">
      <c r="A192">
        <v>91</v>
      </c>
      <c r="B192" t="s">
        <v>367</v>
      </c>
      <c r="C192" t="s">
        <v>311</v>
      </c>
      <c r="D192" t="s">
        <v>111</v>
      </c>
      <c r="E192" t="s">
        <v>738</v>
      </c>
      <c r="F192" s="1" t="s">
        <v>635</v>
      </c>
      <c r="G192" s="6">
        <v>45964</v>
      </c>
      <c r="H192" s="22" t="s">
        <v>659</v>
      </c>
      <c r="I192" s="6">
        <f t="shared" si="11"/>
        <v>46144</v>
      </c>
      <c r="J192" s="26"/>
      <c r="K192" s="6">
        <f t="shared" si="8"/>
        <v>46324</v>
      </c>
      <c r="M192" s="6">
        <f t="shared" si="9"/>
        <v>46144</v>
      </c>
    </row>
    <row r="193" spans="1:13" x14ac:dyDescent="0.3">
      <c r="A193">
        <v>90</v>
      </c>
      <c r="B193" t="s">
        <v>367</v>
      </c>
      <c r="C193" t="s">
        <v>310</v>
      </c>
      <c r="D193" t="s">
        <v>110</v>
      </c>
      <c r="E193" t="s">
        <v>738</v>
      </c>
      <c r="F193" s="1" t="s">
        <v>635</v>
      </c>
      <c r="G193" s="6">
        <v>45964</v>
      </c>
      <c r="H193" s="22" t="s">
        <v>659</v>
      </c>
      <c r="I193" s="6">
        <f t="shared" si="11"/>
        <v>46144</v>
      </c>
      <c r="J193" s="26"/>
      <c r="K193" s="6">
        <f t="shared" si="8"/>
        <v>46324</v>
      </c>
      <c r="M193" s="6">
        <f t="shared" si="9"/>
        <v>46144</v>
      </c>
    </row>
    <row r="194" spans="1:13" x14ac:dyDescent="0.3">
      <c r="A194">
        <v>143</v>
      </c>
      <c r="B194" t="s">
        <v>383</v>
      </c>
      <c r="C194" t="s">
        <v>322</v>
      </c>
      <c r="D194" t="s">
        <v>123</v>
      </c>
      <c r="E194" t="s">
        <v>784</v>
      </c>
      <c r="F194" s="1" t="s">
        <v>410</v>
      </c>
      <c r="G194" s="26"/>
      <c r="H194" s="26"/>
      <c r="I194" s="6">
        <f t="shared" si="11"/>
        <v>180</v>
      </c>
      <c r="K194" s="6">
        <f t="shared" si="8"/>
        <v>360</v>
      </c>
      <c r="M194" s="6">
        <f t="shared" si="9"/>
        <v>0</v>
      </c>
    </row>
    <row r="195" spans="1:13" x14ac:dyDescent="0.3">
      <c r="A195">
        <v>104</v>
      </c>
      <c r="B195" t="s">
        <v>368</v>
      </c>
      <c r="C195" t="s">
        <v>265</v>
      </c>
      <c r="D195" t="s">
        <v>63</v>
      </c>
      <c r="E195" t="s">
        <v>751</v>
      </c>
      <c r="F195" s="1" t="s">
        <v>622</v>
      </c>
      <c r="G195" s="6">
        <v>45645</v>
      </c>
      <c r="H195" s="22" t="s">
        <v>408</v>
      </c>
      <c r="I195" s="6">
        <f t="shared" si="11"/>
        <v>45825</v>
      </c>
      <c r="K195" s="6">
        <f t="shared" ref="K195:K258" si="12">I195+$O$1</f>
        <v>46005</v>
      </c>
      <c r="M195" s="6">
        <f t="shared" ref="M195:M258" si="13">IF(H195="Done",IF(J195="Done",IF(L195="Done","-",K195),I195),G195)</f>
        <v>45825</v>
      </c>
    </row>
    <row r="196" spans="1:13" x14ac:dyDescent="0.3">
      <c r="A196">
        <v>100</v>
      </c>
      <c r="B196" t="s">
        <v>367</v>
      </c>
      <c r="C196" t="s">
        <v>313</v>
      </c>
      <c r="D196" t="s">
        <v>113</v>
      </c>
      <c r="E196" t="s">
        <v>747</v>
      </c>
      <c r="F196" s="1" t="s">
        <v>617</v>
      </c>
      <c r="G196" s="6">
        <v>45674</v>
      </c>
      <c r="H196" s="22" t="s">
        <v>408</v>
      </c>
      <c r="I196" s="6">
        <f t="shared" si="11"/>
        <v>45854</v>
      </c>
      <c r="J196" s="26"/>
      <c r="K196" s="6">
        <f t="shared" si="12"/>
        <v>46034</v>
      </c>
      <c r="M196" s="6">
        <f t="shared" si="13"/>
        <v>45854</v>
      </c>
    </row>
    <row r="197" spans="1:13" x14ac:dyDescent="0.3">
      <c r="A197">
        <v>97</v>
      </c>
      <c r="B197" t="s">
        <v>370</v>
      </c>
      <c r="C197" t="s">
        <v>316</v>
      </c>
      <c r="D197" t="s">
        <v>116</v>
      </c>
      <c r="E197" t="s">
        <v>744</v>
      </c>
      <c r="F197" s="1" t="s">
        <v>629</v>
      </c>
      <c r="G197" s="6">
        <v>45883</v>
      </c>
      <c r="H197" s="22" t="s">
        <v>408</v>
      </c>
      <c r="I197" s="6">
        <f t="shared" si="11"/>
        <v>46063</v>
      </c>
      <c r="J197" s="26"/>
      <c r="K197" s="6">
        <f t="shared" si="12"/>
        <v>46243</v>
      </c>
      <c r="M197" s="6">
        <f t="shared" si="13"/>
        <v>46063</v>
      </c>
    </row>
    <row r="198" spans="1:13" x14ac:dyDescent="0.3">
      <c r="A198">
        <v>86</v>
      </c>
      <c r="B198" t="s">
        <v>380</v>
      </c>
      <c r="C198" t="s">
        <v>315</v>
      </c>
      <c r="D198" t="s">
        <v>115</v>
      </c>
      <c r="E198" t="s">
        <v>710</v>
      </c>
      <c r="F198" s="1" t="s">
        <v>610</v>
      </c>
      <c r="G198" s="6">
        <v>45838</v>
      </c>
      <c r="H198" s="22" t="s">
        <v>659</v>
      </c>
      <c r="I198" s="6">
        <v>46059</v>
      </c>
      <c r="J198" s="22" t="s">
        <v>659</v>
      </c>
      <c r="K198" s="6">
        <f t="shared" si="12"/>
        <v>46239</v>
      </c>
      <c r="M198" s="6">
        <f t="shared" si="13"/>
        <v>46239</v>
      </c>
    </row>
    <row r="199" spans="1:13" x14ac:dyDescent="0.3">
      <c r="A199">
        <v>204</v>
      </c>
      <c r="B199" t="s">
        <v>365</v>
      </c>
      <c r="C199" t="s">
        <v>249</v>
      </c>
      <c r="D199" t="s">
        <v>46</v>
      </c>
      <c r="E199" t="s">
        <v>842</v>
      </c>
      <c r="F199" s="1" t="s">
        <v>610</v>
      </c>
      <c r="G199" s="6">
        <v>45715</v>
      </c>
      <c r="H199" s="22" t="s">
        <v>408</v>
      </c>
      <c r="I199" s="6">
        <v>45853</v>
      </c>
      <c r="J199" s="22" t="s">
        <v>408</v>
      </c>
      <c r="K199" s="6">
        <f t="shared" si="12"/>
        <v>46033</v>
      </c>
      <c r="M199" s="6">
        <f t="shared" si="13"/>
        <v>46033</v>
      </c>
    </row>
    <row r="200" spans="1:13" x14ac:dyDescent="0.3">
      <c r="A200">
        <v>96</v>
      </c>
      <c r="B200" t="s">
        <v>376</v>
      </c>
      <c r="C200" t="s">
        <v>306</v>
      </c>
      <c r="D200" t="s">
        <v>106</v>
      </c>
      <c r="E200" t="s">
        <v>743</v>
      </c>
      <c r="F200" s="1" t="s">
        <v>637</v>
      </c>
      <c r="G200" s="6">
        <v>45846</v>
      </c>
      <c r="H200" s="22" t="s">
        <v>408</v>
      </c>
      <c r="I200" s="6">
        <f>G200+$O$1</f>
        <v>46026</v>
      </c>
      <c r="J200" s="26"/>
      <c r="K200" s="6">
        <f t="shared" si="12"/>
        <v>46206</v>
      </c>
      <c r="M200" s="6">
        <f t="shared" si="13"/>
        <v>46026</v>
      </c>
    </row>
    <row r="201" spans="1:13" x14ac:dyDescent="0.3">
      <c r="A201">
        <v>85</v>
      </c>
      <c r="B201" t="s">
        <v>370</v>
      </c>
      <c r="C201" t="s">
        <v>292</v>
      </c>
      <c r="D201" t="s">
        <v>93</v>
      </c>
      <c r="E201" t="s">
        <v>734</v>
      </c>
      <c r="F201" s="1" t="s">
        <v>622</v>
      </c>
      <c r="H201" s="26"/>
      <c r="I201" s="6">
        <f>G201+$O$1</f>
        <v>180</v>
      </c>
      <c r="K201" s="6">
        <f t="shared" si="12"/>
        <v>360</v>
      </c>
      <c r="M201" s="6">
        <f t="shared" si="13"/>
        <v>0</v>
      </c>
    </row>
    <row r="202" spans="1:13" x14ac:dyDescent="0.3">
      <c r="A202">
        <v>98</v>
      </c>
      <c r="B202" t="s">
        <v>375</v>
      </c>
      <c r="C202" t="s">
        <v>304</v>
      </c>
      <c r="D202" t="s">
        <v>104</v>
      </c>
      <c r="E202" t="s">
        <v>745</v>
      </c>
      <c r="F202" s="1" t="s">
        <v>623</v>
      </c>
      <c r="I202" s="6">
        <f>G202+$O$1</f>
        <v>180</v>
      </c>
      <c r="K202" s="6">
        <f t="shared" si="12"/>
        <v>360</v>
      </c>
      <c r="M202" s="6">
        <f t="shared" si="13"/>
        <v>0</v>
      </c>
    </row>
    <row r="203" spans="1:13" x14ac:dyDescent="0.3">
      <c r="A203">
        <v>88</v>
      </c>
      <c r="B203" t="s">
        <v>377</v>
      </c>
      <c r="C203" t="s">
        <v>307</v>
      </c>
      <c r="D203" t="s">
        <v>107</v>
      </c>
      <c r="E203" t="s">
        <v>736</v>
      </c>
      <c r="F203" s="1" t="s">
        <v>634</v>
      </c>
      <c r="G203" s="6">
        <v>45731</v>
      </c>
      <c r="H203" s="22" t="s">
        <v>408</v>
      </c>
      <c r="I203" s="6">
        <v>45859</v>
      </c>
      <c r="J203" s="22" t="s">
        <v>408</v>
      </c>
      <c r="K203" s="6">
        <f t="shared" si="12"/>
        <v>46039</v>
      </c>
      <c r="M203" s="6">
        <f t="shared" si="13"/>
        <v>46039</v>
      </c>
    </row>
    <row r="204" spans="1:13" x14ac:dyDescent="0.3">
      <c r="A204">
        <v>89</v>
      </c>
      <c r="B204" t="s">
        <v>376</v>
      </c>
      <c r="C204" t="s">
        <v>305</v>
      </c>
      <c r="D204" t="s">
        <v>105</v>
      </c>
      <c r="E204" t="s">
        <v>737</v>
      </c>
      <c r="F204" s="1" t="s">
        <v>610</v>
      </c>
      <c r="G204" s="6">
        <v>45765</v>
      </c>
      <c r="H204" s="22" t="s">
        <v>659</v>
      </c>
      <c r="I204" s="6">
        <v>46336</v>
      </c>
      <c r="J204" s="22" t="s">
        <v>408</v>
      </c>
      <c r="K204" s="6">
        <f t="shared" si="12"/>
        <v>46516</v>
      </c>
      <c r="M204" s="6">
        <f t="shared" si="13"/>
        <v>46516</v>
      </c>
    </row>
    <row r="205" spans="1:13" x14ac:dyDescent="0.3">
      <c r="A205">
        <v>84</v>
      </c>
      <c r="B205" t="s">
        <v>370</v>
      </c>
      <c r="C205" t="s">
        <v>291</v>
      </c>
      <c r="D205" t="s">
        <v>92</v>
      </c>
      <c r="E205" t="s">
        <v>733</v>
      </c>
      <c r="F205" s="1" t="s">
        <v>611</v>
      </c>
      <c r="G205" s="6">
        <v>45777</v>
      </c>
      <c r="H205" s="22" t="s">
        <v>408</v>
      </c>
      <c r="I205" s="6">
        <v>45918</v>
      </c>
      <c r="J205" s="22" t="s">
        <v>408</v>
      </c>
      <c r="K205" s="6">
        <v>46087</v>
      </c>
      <c r="L205" s="22" t="s">
        <v>408</v>
      </c>
      <c r="M205" s="6" t="str">
        <f t="shared" si="13"/>
        <v>-</v>
      </c>
    </row>
    <row r="206" spans="1:13" x14ac:dyDescent="0.3">
      <c r="A206">
        <v>105</v>
      </c>
      <c r="B206" t="s">
        <v>373</v>
      </c>
      <c r="C206" t="s">
        <v>300</v>
      </c>
      <c r="D206" t="s">
        <v>100</v>
      </c>
      <c r="E206" t="s">
        <v>752</v>
      </c>
      <c r="F206" s="1" t="s">
        <v>608</v>
      </c>
      <c r="G206" s="6">
        <v>45802</v>
      </c>
      <c r="H206" s="22" t="s">
        <v>659</v>
      </c>
      <c r="I206" s="6">
        <f t="shared" ref="I206:I217" si="14">G206+$O$1</f>
        <v>45982</v>
      </c>
      <c r="J206" s="26"/>
      <c r="K206" s="6">
        <f t="shared" si="12"/>
        <v>46162</v>
      </c>
      <c r="M206" s="6">
        <f t="shared" si="13"/>
        <v>45982</v>
      </c>
    </row>
    <row r="207" spans="1:13" x14ac:dyDescent="0.3">
      <c r="A207">
        <v>81</v>
      </c>
      <c r="B207" t="s">
        <v>364</v>
      </c>
      <c r="C207" t="s">
        <v>299</v>
      </c>
      <c r="D207" t="s">
        <v>99</v>
      </c>
      <c r="E207" t="s">
        <v>731</v>
      </c>
      <c r="F207" s="1" t="s">
        <v>610</v>
      </c>
      <c r="H207" s="26"/>
      <c r="I207" s="6">
        <f t="shared" si="14"/>
        <v>180</v>
      </c>
      <c r="K207" s="6">
        <f t="shared" si="12"/>
        <v>360</v>
      </c>
      <c r="M207" s="6">
        <f t="shared" si="13"/>
        <v>0</v>
      </c>
    </row>
    <row r="208" spans="1:13" x14ac:dyDescent="0.3">
      <c r="A208">
        <v>87</v>
      </c>
      <c r="B208" t="s">
        <v>367</v>
      </c>
      <c r="C208" t="s">
        <v>301</v>
      </c>
      <c r="D208" t="s">
        <v>101</v>
      </c>
      <c r="E208" t="s">
        <v>735</v>
      </c>
      <c r="F208" s="1" t="s">
        <v>610</v>
      </c>
      <c r="H208" s="26"/>
      <c r="I208" s="6">
        <f t="shared" si="14"/>
        <v>180</v>
      </c>
      <c r="K208" s="6">
        <f t="shared" si="12"/>
        <v>360</v>
      </c>
      <c r="M208" s="6">
        <f t="shared" si="13"/>
        <v>0</v>
      </c>
    </row>
    <row r="209" spans="1:13" x14ac:dyDescent="0.3">
      <c r="A209">
        <v>83</v>
      </c>
      <c r="B209" t="s">
        <v>368</v>
      </c>
      <c r="C209" t="s">
        <v>294</v>
      </c>
      <c r="D209" t="s">
        <v>426</v>
      </c>
      <c r="E209" t="e">
        <v>#N/A</v>
      </c>
      <c r="F209" s="1" t="s">
        <v>612</v>
      </c>
      <c r="G209" s="6">
        <v>45884</v>
      </c>
      <c r="H209" s="22" t="s">
        <v>408</v>
      </c>
      <c r="I209" s="6">
        <f t="shared" si="14"/>
        <v>46064</v>
      </c>
      <c r="J209" s="6" t="s">
        <v>1633</v>
      </c>
      <c r="K209" s="6">
        <f t="shared" si="12"/>
        <v>46244</v>
      </c>
      <c r="M209" s="6">
        <f t="shared" si="13"/>
        <v>46064</v>
      </c>
    </row>
    <row r="210" spans="1:13" x14ac:dyDescent="0.3">
      <c r="A210">
        <v>142</v>
      </c>
      <c r="B210" t="s">
        <v>363</v>
      </c>
      <c r="C210" t="s">
        <v>297</v>
      </c>
      <c r="D210" t="s">
        <v>97</v>
      </c>
      <c r="E210" t="s">
        <v>789</v>
      </c>
      <c r="F210" s="1" t="s">
        <v>610</v>
      </c>
      <c r="G210" s="6">
        <v>45781</v>
      </c>
      <c r="H210" s="22" t="s">
        <v>408</v>
      </c>
      <c r="I210" s="6">
        <f t="shared" si="14"/>
        <v>45961</v>
      </c>
      <c r="J210" s="26"/>
      <c r="K210" s="6">
        <f t="shared" si="12"/>
        <v>46141</v>
      </c>
      <c r="M210" s="6">
        <f t="shared" si="13"/>
        <v>45961</v>
      </c>
    </row>
    <row r="211" spans="1:13" x14ac:dyDescent="0.3">
      <c r="A211">
        <v>92</v>
      </c>
      <c r="B211" t="s">
        <v>372</v>
      </c>
      <c r="C211" t="s">
        <v>298</v>
      </c>
      <c r="D211" t="s">
        <v>98</v>
      </c>
      <c r="E211" t="s">
        <v>739</v>
      </c>
      <c r="F211" s="1" t="s">
        <v>617</v>
      </c>
      <c r="G211" s="6">
        <v>45717</v>
      </c>
      <c r="H211" s="22" t="s">
        <v>659</v>
      </c>
      <c r="I211" s="6">
        <f t="shared" si="14"/>
        <v>45897</v>
      </c>
      <c r="J211" s="26"/>
      <c r="K211" s="6">
        <f t="shared" si="12"/>
        <v>46077</v>
      </c>
      <c r="M211" s="6">
        <f t="shared" si="13"/>
        <v>45897</v>
      </c>
    </row>
    <row r="212" spans="1:13" x14ac:dyDescent="0.3">
      <c r="A212">
        <v>121</v>
      </c>
      <c r="B212" t="s">
        <v>368</v>
      </c>
      <c r="C212" t="s">
        <v>288</v>
      </c>
      <c r="D212" t="s">
        <v>89</v>
      </c>
      <c r="E212" t="s">
        <v>768</v>
      </c>
      <c r="F212" s="1" t="s">
        <v>611</v>
      </c>
      <c r="G212" s="6">
        <v>45777</v>
      </c>
      <c r="H212" s="22" t="s">
        <v>408</v>
      </c>
      <c r="I212" s="6">
        <f t="shared" si="14"/>
        <v>45957</v>
      </c>
      <c r="J212" s="26" t="s">
        <v>408</v>
      </c>
      <c r="K212" s="6">
        <f t="shared" si="12"/>
        <v>46137</v>
      </c>
      <c r="M212" s="6">
        <f t="shared" si="13"/>
        <v>46137</v>
      </c>
    </row>
    <row r="213" spans="1:13" x14ac:dyDescent="0.3">
      <c r="A213">
        <v>82</v>
      </c>
      <c r="B213" t="s">
        <v>367</v>
      </c>
      <c r="C213" t="s">
        <v>296</v>
      </c>
      <c r="D213" t="s">
        <v>96</v>
      </c>
      <c r="E213" t="s">
        <v>732</v>
      </c>
      <c r="F213" s="1" t="s">
        <v>613</v>
      </c>
      <c r="G213" s="6">
        <v>45782</v>
      </c>
      <c r="H213" s="22" t="s">
        <v>408</v>
      </c>
      <c r="I213" s="6">
        <f t="shared" si="14"/>
        <v>45962</v>
      </c>
      <c r="J213" s="22" t="s">
        <v>659</v>
      </c>
      <c r="K213" s="6">
        <f t="shared" si="12"/>
        <v>46142</v>
      </c>
      <c r="M213" s="6">
        <f t="shared" si="13"/>
        <v>46142</v>
      </c>
    </row>
    <row r="214" spans="1:13" x14ac:dyDescent="0.3">
      <c r="A214">
        <v>79</v>
      </c>
      <c r="B214" t="s">
        <v>368</v>
      </c>
      <c r="C214" t="s">
        <v>284</v>
      </c>
      <c r="D214" t="s">
        <v>85</v>
      </c>
      <c r="E214" t="e">
        <v>#N/A</v>
      </c>
      <c r="F214" s="1" t="s">
        <v>617</v>
      </c>
      <c r="H214" s="26"/>
      <c r="I214" s="6">
        <f t="shared" si="14"/>
        <v>180</v>
      </c>
      <c r="K214" s="6">
        <f t="shared" si="12"/>
        <v>360</v>
      </c>
      <c r="M214" s="6">
        <f t="shared" si="13"/>
        <v>0</v>
      </c>
    </row>
    <row r="215" spans="1:13" x14ac:dyDescent="0.3">
      <c r="A215">
        <v>77</v>
      </c>
      <c r="B215" t="s">
        <v>363</v>
      </c>
      <c r="C215" t="s">
        <v>272</v>
      </c>
      <c r="D215" s="19" t="s">
        <v>69</v>
      </c>
      <c r="E215" t="s">
        <v>728</v>
      </c>
      <c r="F215" s="1" t="s">
        <v>617</v>
      </c>
      <c r="G215" s="6">
        <v>45593</v>
      </c>
      <c r="H215" s="26" t="s">
        <v>408</v>
      </c>
      <c r="I215" s="6">
        <f t="shared" si="14"/>
        <v>45773</v>
      </c>
      <c r="K215" s="6">
        <f t="shared" si="12"/>
        <v>45953</v>
      </c>
      <c r="M215" s="6">
        <f t="shared" si="13"/>
        <v>45773</v>
      </c>
    </row>
    <row r="216" spans="1:13" x14ac:dyDescent="0.3">
      <c r="A216">
        <v>153</v>
      </c>
      <c r="B216" t="s">
        <v>364</v>
      </c>
      <c r="C216" t="s">
        <v>254</v>
      </c>
      <c r="D216" t="s">
        <v>51</v>
      </c>
      <c r="E216" t="s">
        <v>797</v>
      </c>
      <c r="F216" s="1" t="s">
        <v>608</v>
      </c>
      <c r="G216" s="6">
        <v>45820</v>
      </c>
      <c r="H216" s="22" t="s">
        <v>408</v>
      </c>
      <c r="I216" s="6">
        <f t="shared" si="14"/>
        <v>46000</v>
      </c>
      <c r="J216" s="26"/>
      <c r="K216" s="6">
        <f t="shared" si="12"/>
        <v>46180</v>
      </c>
      <c r="M216" s="6">
        <f t="shared" si="13"/>
        <v>46000</v>
      </c>
    </row>
    <row r="217" spans="1:13" x14ac:dyDescent="0.3">
      <c r="A217">
        <v>316</v>
      </c>
      <c r="B217" t="s">
        <v>368</v>
      </c>
      <c r="C217" t="s">
        <v>593</v>
      </c>
      <c r="D217" t="s">
        <v>528</v>
      </c>
      <c r="E217" t="s">
        <v>926</v>
      </c>
      <c r="F217" s="1" t="s">
        <v>615</v>
      </c>
      <c r="G217" s="16">
        <v>45802</v>
      </c>
      <c r="H217" s="22" t="s">
        <v>659</v>
      </c>
      <c r="I217" s="6">
        <f t="shared" si="14"/>
        <v>45982</v>
      </c>
      <c r="J217" s="26"/>
      <c r="K217" s="6">
        <f t="shared" si="12"/>
        <v>46162</v>
      </c>
      <c r="M217" s="6">
        <f t="shared" si="13"/>
        <v>45982</v>
      </c>
    </row>
    <row r="218" spans="1:13" x14ac:dyDescent="0.3">
      <c r="A218">
        <v>320</v>
      </c>
      <c r="B218" t="s">
        <v>368</v>
      </c>
      <c r="C218" t="s">
        <v>596</v>
      </c>
      <c r="D218" t="s">
        <v>599</v>
      </c>
      <c r="E218" t="s">
        <v>928</v>
      </c>
      <c r="F218" s="1" t="s">
        <v>608</v>
      </c>
      <c r="G218" s="6">
        <v>45804</v>
      </c>
      <c r="H218" s="22" t="s">
        <v>408</v>
      </c>
      <c r="I218" s="6">
        <v>46039</v>
      </c>
      <c r="J218" s="22" t="s">
        <v>408</v>
      </c>
      <c r="K218" s="6">
        <f t="shared" si="12"/>
        <v>46219</v>
      </c>
      <c r="M218" s="6">
        <f t="shared" si="13"/>
        <v>46219</v>
      </c>
    </row>
    <row r="219" spans="1:13" x14ac:dyDescent="0.3">
      <c r="A219">
        <v>155</v>
      </c>
      <c r="B219" t="s">
        <v>363</v>
      </c>
      <c r="C219" t="s">
        <v>245</v>
      </c>
      <c r="D219" t="s">
        <v>42</v>
      </c>
      <c r="E219" t="e">
        <v>#N/A</v>
      </c>
      <c r="F219" s="1" t="s">
        <v>610</v>
      </c>
      <c r="G219" s="6">
        <v>45810</v>
      </c>
      <c r="H219" s="22" t="s">
        <v>659</v>
      </c>
      <c r="I219" s="6">
        <v>45931</v>
      </c>
      <c r="J219" s="22" t="s">
        <v>659</v>
      </c>
      <c r="K219" s="6">
        <f t="shared" si="12"/>
        <v>46111</v>
      </c>
      <c r="M219" s="6">
        <f t="shared" si="13"/>
        <v>46111</v>
      </c>
    </row>
    <row r="220" spans="1:13" x14ac:dyDescent="0.3">
      <c r="A220">
        <v>76</v>
      </c>
      <c r="B220" t="s">
        <v>365</v>
      </c>
      <c r="C220" t="s">
        <v>251</v>
      </c>
      <c r="D220" s="19" t="s">
        <v>48</v>
      </c>
      <c r="E220" t="s">
        <v>727</v>
      </c>
      <c r="F220" s="1" t="s">
        <v>614</v>
      </c>
      <c r="G220" s="6">
        <v>45598</v>
      </c>
      <c r="H220" s="22" t="s">
        <v>408</v>
      </c>
      <c r="I220" s="6">
        <v>45874</v>
      </c>
      <c r="J220" s="22" t="s">
        <v>408</v>
      </c>
      <c r="K220" s="6">
        <f t="shared" si="12"/>
        <v>46054</v>
      </c>
      <c r="M220" s="6">
        <f t="shared" si="13"/>
        <v>46054</v>
      </c>
    </row>
    <row r="221" spans="1:13" x14ac:dyDescent="0.3">
      <c r="A221">
        <v>93</v>
      </c>
      <c r="B221" t="s">
        <v>362</v>
      </c>
      <c r="C221" t="s">
        <v>243</v>
      </c>
      <c r="D221" t="s">
        <v>40</v>
      </c>
      <c r="E221" t="s">
        <v>740</v>
      </c>
      <c r="F221" s="1" t="s">
        <v>636</v>
      </c>
      <c r="G221" s="6">
        <v>45800</v>
      </c>
      <c r="H221" s="22" t="s">
        <v>408</v>
      </c>
      <c r="I221" s="6">
        <v>45958</v>
      </c>
      <c r="J221" s="22" t="s">
        <v>659</v>
      </c>
      <c r="K221" s="6">
        <v>46091</v>
      </c>
      <c r="L221" s="6" t="s">
        <v>408</v>
      </c>
      <c r="M221" s="6" t="str">
        <f t="shared" si="13"/>
        <v>-</v>
      </c>
    </row>
    <row r="222" spans="1:13" x14ac:dyDescent="0.3">
      <c r="A222">
        <v>75</v>
      </c>
      <c r="B222" t="s">
        <v>371</v>
      </c>
      <c r="C222" t="s">
        <v>278</v>
      </c>
      <c r="D222" s="19" t="s">
        <v>76</v>
      </c>
      <c r="E222" t="s">
        <v>726</v>
      </c>
      <c r="F222" s="1" t="s">
        <v>617</v>
      </c>
      <c r="G222" s="6">
        <v>45831</v>
      </c>
      <c r="H222" s="17" t="s">
        <v>408</v>
      </c>
      <c r="I222" s="6">
        <f>G222+$O$1</f>
        <v>46011</v>
      </c>
      <c r="J222" s="22" t="s">
        <v>408</v>
      </c>
      <c r="K222" s="6">
        <f t="shared" si="12"/>
        <v>46191</v>
      </c>
      <c r="M222" s="6">
        <f t="shared" si="13"/>
        <v>46191</v>
      </c>
    </row>
    <row r="223" spans="1:13" x14ac:dyDescent="0.3">
      <c r="A223">
        <v>321</v>
      </c>
      <c r="B223" t="s">
        <v>534</v>
      </c>
      <c r="C223" t="s">
        <v>597</v>
      </c>
      <c r="D223" t="s">
        <v>600</v>
      </c>
      <c r="E223" t="s">
        <v>929</v>
      </c>
      <c r="F223" s="1" t="s">
        <v>654</v>
      </c>
      <c r="G223" s="6">
        <v>45529</v>
      </c>
      <c r="H223" s="22" t="s">
        <v>408</v>
      </c>
      <c r="I223" s="6">
        <v>45867</v>
      </c>
      <c r="J223" s="22" t="s">
        <v>408</v>
      </c>
      <c r="K223" s="6">
        <f t="shared" si="12"/>
        <v>46047</v>
      </c>
      <c r="M223" s="6">
        <f t="shared" si="13"/>
        <v>46047</v>
      </c>
    </row>
    <row r="224" spans="1:13" x14ac:dyDescent="0.3">
      <c r="A224">
        <v>73</v>
      </c>
      <c r="B224" t="s">
        <v>367</v>
      </c>
      <c r="C224" t="s">
        <v>295</v>
      </c>
      <c r="D224" t="s">
        <v>95</v>
      </c>
      <c r="E224" t="e">
        <v>#N/A</v>
      </c>
      <c r="F224" s="1" t="s">
        <v>611</v>
      </c>
      <c r="G224" s="6">
        <v>45778</v>
      </c>
      <c r="H224" s="22" t="s">
        <v>408</v>
      </c>
      <c r="I224" s="6">
        <v>46065</v>
      </c>
      <c r="J224" s="22" t="s">
        <v>408</v>
      </c>
      <c r="K224" s="6">
        <f t="shared" si="12"/>
        <v>46245</v>
      </c>
      <c r="M224" s="6">
        <f t="shared" si="13"/>
        <v>46245</v>
      </c>
    </row>
    <row r="225" spans="1:13" x14ac:dyDescent="0.3">
      <c r="A225">
        <v>67</v>
      </c>
      <c r="B225" t="s">
        <v>368</v>
      </c>
      <c r="C225" t="s">
        <v>287</v>
      </c>
      <c r="D225" s="19" t="s">
        <v>88</v>
      </c>
      <c r="E225" t="e">
        <v>#N/A</v>
      </c>
      <c r="F225" s="1" t="s">
        <v>608</v>
      </c>
      <c r="G225" s="6">
        <v>45794</v>
      </c>
      <c r="H225" s="22" t="s">
        <v>408</v>
      </c>
      <c r="I225" s="6">
        <f>G225+$O$1</f>
        <v>45974</v>
      </c>
      <c r="J225" s="26"/>
      <c r="K225" s="6">
        <f t="shared" si="12"/>
        <v>46154</v>
      </c>
      <c r="M225" s="6">
        <f t="shared" si="13"/>
        <v>45974</v>
      </c>
    </row>
    <row r="226" spans="1:13" x14ac:dyDescent="0.3">
      <c r="A226">
        <v>64</v>
      </c>
      <c r="B226" t="s">
        <v>368</v>
      </c>
      <c r="C226" t="s">
        <v>289</v>
      </c>
      <c r="D226" s="19" t="s">
        <v>90</v>
      </c>
      <c r="E226" t="s">
        <v>719</v>
      </c>
      <c r="F226" s="1" t="s">
        <v>608</v>
      </c>
      <c r="G226" s="6">
        <v>45871</v>
      </c>
      <c r="H226" s="22" t="s">
        <v>408</v>
      </c>
      <c r="I226" s="6">
        <f>G226+$O$1</f>
        <v>46051</v>
      </c>
      <c r="J226" s="6" t="s">
        <v>1634</v>
      </c>
      <c r="K226" s="6">
        <f t="shared" si="12"/>
        <v>46231</v>
      </c>
      <c r="M226" s="6">
        <f t="shared" si="13"/>
        <v>46051</v>
      </c>
    </row>
    <row r="227" spans="1:13" x14ac:dyDescent="0.3">
      <c r="A227">
        <v>80</v>
      </c>
      <c r="B227" t="s">
        <v>372</v>
      </c>
      <c r="C227" t="s">
        <v>335</v>
      </c>
      <c r="D227" t="s">
        <v>138</v>
      </c>
      <c r="E227" t="s">
        <v>730</v>
      </c>
      <c r="F227" s="1" t="s">
        <v>610</v>
      </c>
      <c r="G227" s="6">
        <v>45761</v>
      </c>
      <c r="H227" s="22" t="s">
        <v>659</v>
      </c>
      <c r="I227" s="6">
        <v>45874</v>
      </c>
      <c r="J227" s="22" t="s">
        <v>408</v>
      </c>
      <c r="K227" s="6">
        <f t="shared" si="12"/>
        <v>46054</v>
      </c>
      <c r="M227" s="6">
        <f t="shared" si="13"/>
        <v>46054</v>
      </c>
    </row>
    <row r="228" spans="1:13" x14ac:dyDescent="0.3">
      <c r="A228">
        <v>131</v>
      </c>
      <c r="B228" t="s">
        <v>365</v>
      </c>
      <c r="C228" t="s">
        <v>333</v>
      </c>
      <c r="D228" t="s">
        <v>136</v>
      </c>
      <c r="E228" t="s">
        <v>778</v>
      </c>
      <c r="F228" s="1" t="s">
        <v>611</v>
      </c>
      <c r="G228" s="6">
        <v>45572</v>
      </c>
      <c r="H228" s="22" t="s">
        <v>408</v>
      </c>
      <c r="I228" s="6">
        <f>G228+$O$1</f>
        <v>45752</v>
      </c>
      <c r="J228" s="26"/>
      <c r="K228" s="6">
        <f t="shared" si="12"/>
        <v>45932</v>
      </c>
      <c r="M228" s="6">
        <f t="shared" si="13"/>
        <v>45752</v>
      </c>
    </row>
    <row r="229" spans="1:13" x14ac:dyDescent="0.3">
      <c r="A229">
        <v>169</v>
      </c>
      <c r="B229" t="s">
        <v>368</v>
      </c>
      <c r="C229" t="s">
        <v>275</v>
      </c>
      <c r="D229" t="s">
        <v>73</v>
      </c>
      <c r="E229" t="s">
        <v>809</v>
      </c>
      <c r="F229" s="1" t="s">
        <v>632</v>
      </c>
      <c r="G229" s="6">
        <v>45730</v>
      </c>
      <c r="H229" s="22" t="s">
        <v>408</v>
      </c>
      <c r="I229" s="6">
        <v>45810</v>
      </c>
      <c r="J229" s="22" t="s">
        <v>408</v>
      </c>
      <c r="K229" s="6">
        <f t="shared" si="12"/>
        <v>45990</v>
      </c>
      <c r="M229" s="6">
        <f t="shared" si="13"/>
        <v>45990</v>
      </c>
    </row>
    <row r="230" spans="1:13" x14ac:dyDescent="0.3">
      <c r="A230">
        <v>110</v>
      </c>
      <c r="B230" t="s">
        <v>364</v>
      </c>
      <c r="C230" t="s">
        <v>319</v>
      </c>
      <c r="D230" t="s">
        <v>135</v>
      </c>
      <c r="E230" t="s">
        <v>757</v>
      </c>
      <c r="F230" s="1" t="s">
        <v>615</v>
      </c>
      <c r="G230" s="6">
        <v>45861</v>
      </c>
      <c r="H230" s="22" t="s">
        <v>408</v>
      </c>
      <c r="I230" s="6">
        <v>46024</v>
      </c>
      <c r="J230" s="22" t="s">
        <v>659</v>
      </c>
      <c r="K230" s="6">
        <f t="shared" si="12"/>
        <v>46204</v>
      </c>
      <c r="M230" s="6">
        <f t="shared" si="13"/>
        <v>46204</v>
      </c>
    </row>
    <row r="231" spans="1:13" x14ac:dyDescent="0.3">
      <c r="A231">
        <v>130</v>
      </c>
      <c r="B231" t="s">
        <v>371</v>
      </c>
      <c r="C231" t="s">
        <v>319</v>
      </c>
      <c r="D231" t="s">
        <v>120</v>
      </c>
      <c r="E231" t="s">
        <v>777</v>
      </c>
      <c r="F231" s="1" t="s">
        <v>617</v>
      </c>
      <c r="G231" s="6">
        <v>45878</v>
      </c>
      <c r="H231" s="22" t="s">
        <v>408</v>
      </c>
      <c r="I231" s="6">
        <v>46111</v>
      </c>
      <c r="J231" s="22" t="s">
        <v>659</v>
      </c>
      <c r="K231" s="6">
        <f t="shared" si="12"/>
        <v>46291</v>
      </c>
      <c r="M231" s="6">
        <f t="shared" si="13"/>
        <v>46291</v>
      </c>
    </row>
    <row r="232" spans="1:13" x14ac:dyDescent="0.3">
      <c r="A232">
        <v>109</v>
      </c>
      <c r="B232" t="s">
        <v>384</v>
      </c>
      <c r="C232" t="s">
        <v>336</v>
      </c>
      <c r="D232" t="s">
        <v>139</v>
      </c>
      <c r="E232" t="s">
        <v>756</v>
      </c>
      <c r="F232" s="1" t="s">
        <v>620</v>
      </c>
      <c r="G232" s="6">
        <v>45784</v>
      </c>
      <c r="H232" s="22" t="s">
        <v>408</v>
      </c>
      <c r="I232" s="6">
        <f t="shared" ref="I232:I248" si="15">G232+$O$1</f>
        <v>45964</v>
      </c>
      <c r="J232" s="26"/>
      <c r="K232" s="6">
        <f t="shared" si="12"/>
        <v>46144</v>
      </c>
      <c r="M232" s="6">
        <f t="shared" si="13"/>
        <v>45964</v>
      </c>
    </row>
    <row r="233" spans="1:13" x14ac:dyDescent="0.3">
      <c r="A233">
        <v>117</v>
      </c>
      <c r="B233" t="s">
        <v>386</v>
      </c>
      <c r="C233" t="s">
        <v>332</v>
      </c>
      <c r="D233" t="s">
        <v>134</v>
      </c>
      <c r="E233" t="s">
        <v>764</v>
      </c>
      <c r="F233" s="1" t="s">
        <v>611</v>
      </c>
      <c r="G233" s="6">
        <v>45810</v>
      </c>
      <c r="H233" s="22" t="s">
        <v>408</v>
      </c>
      <c r="I233" s="6">
        <v>46036</v>
      </c>
      <c r="J233" s="22" t="s">
        <v>408</v>
      </c>
      <c r="K233" s="6">
        <f t="shared" si="12"/>
        <v>46216</v>
      </c>
      <c r="M233" s="6">
        <f t="shared" si="13"/>
        <v>46216</v>
      </c>
    </row>
    <row r="234" spans="1:13" x14ac:dyDescent="0.3">
      <c r="A234">
        <v>250</v>
      </c>
      <c r="B234" t="s">
        <v>376</v>
      </c>
      <c r="C234" t="s">
        <v>550</v>
      </c>
      <c r="D234" t="s">
        <v>463</v>
      </c>
      <c r="E234" t="s">
        <v>884</v>
      </c>
      <c r="F234" s="1" t="s">
        <v>608</v>
      </c>
      <c r="G234" s="6">
        <v>45854</v>
      </c>
      <c r="H234" s="22" t="s">
        <v>408</v>
      </c>
      <c r="I234" s="6">
        <f t="shared" si="15"/>
        <v>46034</v>
      </c>
      <c r="K234" s="6">
        <f t="shared" si="12"/>
        <v>46214</v>
      </c>
      <c r="M234" s="6">
        <f t="shared" si="13"/>
        <v>46034</v>
      </c>
    </row>
    <row r="235" spans="1:13" x14ac:dyDescent="0.3">
      <c r="A235">
        <v>108</v>
      </c>
      <c r="B235" t="s">
        <v>364</v>
      </c>
      <c r="C235" t="s">
        <v>334</v>
      </c>
      <c r="D235" t="s">
        <v>137</v>
      </c>
      <c r="E235" t="s">
        <v>755</v>
      </c>
      <c r="F235" s="1" t="s">
        <v>616</v>
      </c>
      <c r="G235" s="6">
        <v>45930</v>
      </c>
      <c r="H235" s="22" t="s">
        <v>408</v>
      </c>
      <c r="I235" s="6">
        <f t="shared" si="15"/>
        <v>46110</v>
      </c>
      <c r="J235" s="26"/>
      <c r="K235" s="6">
        <f t="shared" si="12"/>
        <v>46290</v>
      </c>
      <c r="M235" s="6">
        <f t="shared" si="13"/>
        <v>46110</v>
      </c>
    </row>
    <row r="236" spans="1:13" x14ac:dyDescent="0.3">
      <c r="A236">
        <v>133</v>
      </c>
      <c r="B236" t="s">
        <v>364</v>
      </c>
      <c r="C236" t="s">
        <v>329</v>
      </c>
      <c r="D236" t="s">
        <v>930</v>
      </c>
      <c r="E236" t="s">
        <v>780</v>
      </c>
      <c r="F236" s="1" t="s">
        <v>622</v>
      </c>
      <c r="G236" s="6">
        <v>45878</v>
      </c>
      <c r="H236" s="22" t="s">
        <v>408</v>
      </c>
      <c r="I236" s="6">
        <f t="shared" si="15"/>
        <v>46058</v>
      </c>
      <c r="J236" s="26"/>
      <c r="K236" s="6">
        <f t="shared" si="12"/>
        <v>46238</v>
      </c>
      <c r="M236" s="6">
        <f t="shared" si="13"/>
        <v>46058</v>
      </c>
    </row>
    <row r="237" spans="1:13" x14ac:dyDescent="0.3">
      <c r="A237">
        <v>114</v>
      </c>
      <c r="B237" t="s">
        <v>384</v>
      </c>
      <c r="C237" t="s">
        <v>325</v>
      </c>
      <c r="D237" t="s">
        <v>125</v>
      </c>
      <c r="E237" t="s">
        <v>761</v>
      </c>
      <c r="F237" s="1" t="s">
        <v>619</v>
      </c>
      <c r="I237" s="6">
        <f t="shared" si="15"/>
        <v>180</v>
      </c>
      <c r="K237" s="6">
        <f t="shared" si="12"/>
        <v>360</v>
      </c>
      <c r="M237" s="6">
        <f t="shared" si="13"/>
        <v>0</v>
      </c>
    </row>
    <row r="238" spans="1:13" x14ac:dyDescent="0.3">
      <c r="A238">
        <v>115</v>
      </c>
      <c r="B238" t="s">
        <v>384</v>
      </c>
      <c r="C238" t="s">
        <v>328</v>
      </c>
      <c r="D238" t="s">
        <v>128</v>
      </c>
      <c r="E238" t="s">
        <v>762</v>
      </c>
      <c r="F238" s="1" t="s">
        <v>619</v>
      </c>
      <c r="I238" s="6">
        <f t="shared" si="15"/>
        <v>180</v>
      </c>
      <c r="K238" s="6">
        <f t="shared" si="12"/>
        <v>360</v>
      </c>
      <c r="M238" s="6">
        <f t="shared" si="13"/>
        <v>0</v>
      </c>
    </row>
    <row r="239" spans="1:13" x14ac:dyDescent="0.3">
      <c r="A239">
        <v>106</v>
      </c>
      <c r="B239" t="s">
        <v>373</v>
      </c>
      <c r="C239" t="s">
        <v>303</v>
      </c>
      <c r="D239" t="s">
        <v>103</v>
      </c>
      <c r="E239" t="s">
        <v>753</v>
      </c>
      <c r="F239" s="1" t="s">
        <v>616</v>
      </c>
      <c r="G239" s="6">
        <v>45975</v>
      </c>
      <c r="H239" s="22" t="s">
        <v>408</v>
      </c>
      <c r="I239" s="6">
        <f t="shared" si="15"/>
        <v>46155</v>
      </c>
      <c r="J239" s="26"/>
      <c r="K239" s="6">
        <f t="shared" si="12"/>
        <v>46335</v>
      </c>
      <c r="M239" s="6">
        <f t="shared" si="13"/>
        <v>46155</v>
      </c>
    </row>
    <row r="240" spans="1:13" x14ac:dyDescent="0.3">
      <c r="A240">
        <v>122</v>
      </c>
      <c r="B240" t="s">
        <v>383</v>
      </c>
      <c r="C240" t="s">
        <v>324</v>
      </c>
      <c r="D240" t="s">
        <v>124</v>
      </c>
      <c r="E240" t="s">
        <v>769</v>
      </c>
      <c r="F240" s="1" t="s">
        <v>615</v>
      </c>
      <c r="H240" s="11"/>
      <c r="I240" s="6">
        <f t="shared" si="15"/>
        <v>180</v>
      </c>
      <c r="K240" s="6">
        <f t="shared" si="12"/>
        <v>360</v>
      </c>
      <c r="M240" s="6">
        <f t="shared" si="13"/>
        <v>0</v>
      </c>
    </row>
    <row r="241" spans="1:13" x14ac:dyDescent="0.3">
      <c r="A241">
        <v>119</v>
      </c>
      <c r="B241" t="s">
        <v>364</v>
      </c>
      <c r="C241" t="s">
        <v>327</v>
      </c>
      <c r="D241" t="s">
        <v>127</v>
      </c>
      <c r="E241" t="s">
        <v>766</v>
      </c>
      <c r="F241" s="1" t="s">
        <v>640</v>
      </c>
      <c r="G241" s="6">
        <v>45837</v>
      </c>
      <c r="H241" s="22" t="s">
        <v>408</v>
      </c>
      <c r="I241" s="6">
        <f t="shared" si="15"/>
        <v>46017</v>
      </c>
      <c r="J241" s="26"/>
      <c r="K241" s="6">
        <f t="shared" si="12"/>
        <v>46197</v>
      </c>
      <c r="M241" s="6">
        <f t="shared" si="13"/>
        <v>46017</v>
      </c>
    </row>
    <row r="242" spans="1:13" x14ac:dyDescent="0.3">
      <c r="A242">
        <v>128</v>
      </c>
      <c r="B242" t="s">
        <v>371</v>
      </c>
      <c r="C242" t="s">
        <v>279</v>
      </c>
      <c r="D242" t="s">
        <v>77</v>
      </c>
      <c r="E242" t="s">
        <v>775</v>
      </c>
      <c r="F242" s="1" t="s">
        <v>608</v>
      </c>
      <c r="G242" s="6">
        <v>45824</v>
      </c>
      <c r="H242" s="22" t="s">
        <v>408</v>
      </c>
      <c r="I242" s="6">
        <f t="shared" si="15"/>
        <v>46004</v>
      </c>
      <c r="J242" s="22" t="s">
        <v>963</v>
      </c>
      <c r="K242" s="6">
        <f t="shared" si="12"/>
        <v>46184</v>
      </c>
      <c r="M242" s="6">
        <f t="shared" si="13"/>
        <v>46004</v>
      </c>
    </row>
    <row r="243" spans="1:13" x14ac:dyDescent="0.3">
      <c r="A243">
        <v>136</v>
      </c>
      <c r="B243" t="s">
        <v>371</v>
      </c>
      <c r="C243" t="s">
        <v>321</v>
      </c>
      <c r="D243" t="s">
        <v>122</v>
      </c>
      <c r="E243" t="s">
        <v>783</v>
      </c>
      <c r="F243" s="1" t="s">
        <v>610</v>
      </c>
      <c r="G243" s="6">
        <v>45868</v>
      </c>
      <c r="H243" s="22" t="s">
        <v>408</v>
      </c>
      <c r="I243" s="6">
        <f t="shared" si="15"/>
        <v>46048</v>
      </c>
      <c r="K243" s="6">
        <f t="shared" si="12"/>
        <v>46228</v>
      </c>
      <c r="M243" s="6">
        <f t="shared" si="13"/>
        <v>46048</v>
      </c>
    </row>
    <row r="244" spans="1:13" x14ac:dyDescent="0.3">
      <c r="A244">
        <v>129</v>
      </c>
      <c r="B244" t="s">
        <v>374</v>
      </c>
      <c r="C244" t="s">
        <v>302</v>
      </c>
      <c r="D244" t="s">
        <v>102</v>
      </c>
      <c r="E244" t="s">
        <v>776</v>
      </c>
      <c r="F244" s="1" t="s">
        <v>608</v>
      </c>
      <c r="G244" s="6">
        <v>45836</v>
      </c>
      <c r="H244" s="22" t="s">
        <v>408</v>
      </c>
      <c r="I244" s="6">
        <f t="shared" si="15"/>
        <v>46016</v>
      </c>
      <c r="J244" s="26"/>
      <c r="K244" s="6">
        <f t="shared" si="12"/>
        <v>46196</v>
      </c>
      <c r="M244" s="6">
        <f t="shared" si="13"/>
        <v>46016</v>
      </c>
    </row>
    <row r="245" spans="1:13" x14ac:dyDescent="0.3">
      <c r="A245">
        <v>120</v>
      </c>
      <c r="B245" t="s">
        <v>378</v>
      </c>
      <c r="C245" t="s">
        <v>312</v>
      </c>
      <c r="D245" t="s">
        <v>112</v>
      </c>
      <c r="E245" t="s">
        <v>767</v>
      </c>
      <c r="F245" s="1" t="s">
        <v>620</v>
      </c>
      <c r="G245" s="6">
        <v>45929</v>
      </c>
      <c r="H245" s="22" t="s">
        <v>659</v>
      </c>
      <c r="I245" s="6">
        <f t="shared" si="15"/>
        <v>46109</v>
      </c>
      <c r="J245" s="26"/>
      <c r="K245" s="6">
        <f t="shared" si="12"/>
        <v>46289</v>
      </c>
      <c r="M245" s="6">
        <f t="shared" si="13"/>
        <v>46109</v>
      </c>
    </row>
    <row r="246" spans="1:13" x14ac:dyDescent="0.3">
      <c r="A246">
        <v>113</v>
      </c>
      <c r="B246" t="s">
        <v>379</v>
      </c>
      <c r="C246" t="s">
        <v>314</v>
      </c>
      <c r="D246" t="s">
        <v>114</v>
      </c>
      <c r="E246" t="s">
        <v>760</v>
      </c>
      <c r="F246" s="1" t="s">
        <v>610</v>
      </c>
      <c r="G246" s="6">
        <v>45883</v>
      </c>
      <c r="H246" s="22" t="s">
        <v>408</v>
      </c>
      <c r="I246" s="6">
        <f t="shared" si="15"/>
        <v>46063</v>
      </c>
      <c r="K246" s="6">
        <f t="shared" si="12"/>
        <v>46243</v>
      </c>
      <c r="M246" s="6">
        <f t="shared" si="13"/>
        <v>46063</v>
      </c>
    </row>
    <row r="247" spans="1:13" x14ac:dyDescent="0.3">
      <c r="A247">
        <v>101</v>
      </c>
      <c r="B247" t="s">
        <v>380</v>
      </c>
      <c r="C247" t="s">
        <v>318</v>
      </c>
      <c r="D247" t="s">
        <v>119</v>
      </c>
      <c r="E247" t="s">
        <v>748</v>
      </c>
      <c r="F247" s="1" t="s">
        <v>611</v>
      </c>
      <c r="G247" s="6">
        <v>45741</v>
      </c>
      <c r="H247" s="22" t="s">
        <v>408</v>
      </c>
      <c r="I247" s="6">
        <f t="shared" si="15"/>
        <v>45921</v>
      </c>
      <c r="J247" s="26"/>
      <c r="K247" s="6">
        <f t="shared" si="12"/>
        <v>46101</v>
      </c>
      <c r="M247" s="6">
        <f t="shared" si="13"/>
        <v>45921</v>
      </c>
    </row>
    <row r="248" spans="1:13" x14ac:dyDescent="0.3">
      <c r="A248">
        <v>103</v>
      </c>
      <c r="B248" t="s">
        <v>382</v>
      </c>
      <c r="C248" t="s">
        <v>320</v>
      </c>
      <c r="D248" t="s">
        <v>121</v>
      </c>
      <c r="E248" t="s">
        <v>750</v>
      </c>
      <c r="F248" s="1" t="s">
        <v>611</v>
      </c>
      <c r="G248" s="6">
        <v>45869</v>
      </c>
      <c r="H248" s="22" t="s">
        <v>408</v>
      </c>
      <c r="I248" s="6">
        <f t="shared" si="15"/>
        <v>46049</v>
      </c>
      <c r="J248" s="26"/>
      <c r="K248" s="6">
        <f t="shared" si="12"/>
        <v>46229</v>
      </c>
      <c r="M248" s="6">
        <f t="shared" si="13"/>
        <v>46049</v>
      </c>
    </row>
    <row r="249" spans="1:13" x14ac:dyDescent="0.3">
      <c r="A249">
        <v>124</v>
      </c>
      <c r="B249" t="s">
        <v>375</v>
      </c>
      <c r="C249" t="s">
        <v>309</v>
      </c>
      <c r="D249" t="s">
        <v>109</v>
      </c>
      <c r="E249" t="s">
        <v>771</v>
      </c>
      <c r="F249" s="1" t="s">
        <v>612</v>
      </c>
      <c r="G249" s="6">
        <v>45734</v>
      </c>
      <c r="H249" s="22" t="s">
        <v>408</v>
      </c>
      <c r="I249" s="6">
        <v>45947</v>
      </c>
      <c r="J249" s="26" t="s">
        <v>408</v>
      </c>
      <c r="K249" s="6">
        <f t="shared" si="12"/>
        <v>46127</v>
      </c>
      <c r="M249" s="6">
        <f t="shared" si="13"/>
        <v>46127</v>
      </c>
    </row>
    <row r="250" spans="1:13" x14ac:dyDescent="0.3">
      <c r="A250">
        <v>116</v>
      </c>
      <c r="B250" t="s">
        <v>370</v>
      </c>
      <c r="C250" t="s">
        <v>317</v>
      </c>
      <c r="D250" t="s">
        <v>117</v>
      </c>
      <c r="E250" t="s">
        <v>763</v>
      </c>
      <c r="F250" s="1" t="s">
        <v>619</v>
      </c>
      <c r="G250" s="6">
        <v>45765</v>
      </c>
      <c r="H250" s="22" t="s">
        <v>659</v>
      </c>
      <c r="I250" s="6">
        <v>45923</v>
      </c>
      <c r="J250" s="22" t="s">
        <v>408</v>
      </c>
      <c r="K250" s="6">
        <f t="shared" si="12"/>
        <v>46103</v>
      </c>
      <c r="M250" s="6">
        <f t="shared" si="13"/>
        <v>46103</v>
      </c>
    </row>
    <row r="251" spans="1:13" x14ac:dyDescent="0.3">
      <c r="A251">
        <v>102</v>
      </c>
      <c r="B251" t="s">
        <v>367</v>
      </c>
      <c r="C251" t="s">
        <v>269</v>
      </c>
      <c r="D251" t="s">
        <v>66</v>
      </c>
      <c r="E251" t="s">
        <v>749</v>
      </c>
      <c r="F251" s="1" t="s">
        <v>610</v>
      </c>
      <c r="G251" s="6">
        <v>45579</v>
      </c>
      <c r="H251" s="26" t="s">
        <v>408</v>
      </c>
      <c r="I251" s="6">
        <f>G251+$O$1</f>
        <v>45759</v>
      </c>
      <c r="K251" s="6">
        <f t="shared" si="12"/>
        <v>45939</v>
      </c>
      <c r="M251" s="6">
        <f t="shared" si="13"/>
        <v>45759</v>
      </c>
    </row>
    <row r="252" spans="1:13" x14ac:dyDescent="0.3">
      <c r="A252">
        <v>137</v>
      </c>
      <c r="B252" t="s">
        <v>383</v>
      </c>
      <c r="C252" t="s">
        <v>323</v>
      </c>
      <c r="D252" t="s">
        <v>123</v>
      </c>
      <c r="E252" t="s">
        <v>784</v>
      </c>
      <c r="F252" s="1" t="s">
        <v>410</v>
      </c>
      <c r="G252" s="26"/>
      <c r="H252" s="26"/>
      <c r="I252" s="6">
        <f>G252+$O$1</f>
        <v>180</v>
      </c>
      <c r="K252" s="6">
        <f t="shared" si="12"/>
        <v>360</v>
      </c>
      <c r="M252" s="6">
        <f t="shared" si="13"/>
        <v>0</v>
      </c>
    </row>
    <row r="253" spans="1:13" x14ac:dyDescent="0.3">
      <c r="A253">
        <v>138</v>
      </c>
      <c r="B253" t="s">
        <v>375</v>
      </c>
      <c r="C253" t="s">
        <v>308</v>
      </c>
      <c r="D253" t="s">
        <v>108</v>
      </c>
      <c r="E253" t="s">
        <v>785</v>
      </c>
      <c r="F253" s="1" t="s">
        <v>641</v>
      </c>
      <c r="G253" s="6">
        <v>45854</v>
      </c>
      <c r="H253" s="22" t="s">
        <v>408</v>
      </c>
      <c r="I253" s="6">
        <f>G253+$O$1</f>
        <v>46034</v>
      </c>
      <c r="J253" s="26"/>
      <c r="K253" s="6">
        <f t="shared" si="12"/>
        <v>46214</v>
      </c>
      <c r="M253" s="6">
        <f t="shared" si="13"/>
        <v>46034</v>
      </c>
    </row>
    <row r="254" spans="1:13" x14ac:dyDescent="0.3">
      <c r="A254">
        <v>135</v>
      </c>
      <c r="B254" t="s">
        <v>370</v>
      </c>
      <c r="C254" t="s">
        <v>293</v>
      </c>
      <c r="D254" t="s">
        <v>94</v>
      </c>
      <c r="E254" t="s">
        <v>782</v>
      </c>
      <c r="F254" s="1" t="s">
        <v>617</v>
      </c>
      <c r="H254" s="26"/>
      <c r="I254" s="6">
        <f>G254+$O$1</f>
        <v>180</v>
      </c>
      <c r="K254" s="6">
        <f t="shared" si="12"/>
        <v>360</v>
      </c>
      <c r="M254" s="6">
        <f t="shared" si="13"/>
        <v>0</v>
      </c>
    </row>
    <row r="255" spans="1:13" x14ac:dyDescent="0.3">
      <c r="A255">
        <v>293</v>
      </c>
      <c r="B255" t="s">
        <v>388</v>
      </c>
      <c r="C255" t="s">
        <v>575</v>
      </c>
      <c r="D255" t="s">
        <v>505</v>
      </c>
      <c r="E255" t="s">
        <v>916</v>
      </c>
      <c r="F255" s="1" t="s">
        <v>610</v>
      </c>
      <c r="G255" s="16">
        <v>45700</v>
      </c>
      <c r="H255" s="22" t="s">
        <v>659</v>
      </c>
      <c r="I255" s="6">
        <v>45870</v>
      </c>
      <c r="J255" s="22" t="s">
        <v>408</v>
      </c>
      <c r="K255" s="6">
        <f t="shared" si="12"/>
        <v>46050</v>
      </c>
      <c r="M255" s="6">
        <f t="shared" si="13"/>
        <v>46050</v>
      </c>
    </row>
    <row r="256" spans="1:13" x14ac:dyDescent="0.3">
      <c r="A256">
        <v>277</v>
      </c>
      <c r="B256" t="s">
        <v>388</v>
      </c>
      <c r="C256" t="s">
        <v>564</v>
      </c>
      <c r="D256" t="s">
        <v>489</v>
      </c>
      <c r="E256" t="s">
        <v>903</v>
      </c>
      <c r="F256" s="1" t="s">
        <v>615</v>
      </c>
      <c r="G256" s="6">
        <v>45832</v>
      </c>
      <c r="H256" s="22" t="s">
        <v>659</v>
      </c>
      <c r="I256" s="6">
        <f>G256+$O$1</f>
        <v>46012</v>
      </c>
      <c r="J256" s="26" t="s">
        <v>659</v>
      </c>
      <c r="K256" s="6">
        <f t="shared" si="12"/>
        <v>46192</v>
      </c>
      <c r="M256" s="6">
        <f t="shared" si="13"/>
        <v>46192</v>
      </c>
    </row>
    <row r="257" spans="1:13" x14ac:dyDescent="0.3">
      <c r="A257">
        <v>221</v>
      </c>
      <c r="B257" t="s">
        <v>368</v>
      </c>
      <c r="C257">
        <v>2023816</v>
      </c>
      <c r="D257" t="s">
        <v>436</v>
      </c>
      <c r="E257" t="s">
        <v>858</v>
      </c>
      <c r="F257" s="1" t="s">
        <v>618</v>
      </c>
      <c r="G257" s="6">
        <v>45766</v>
      </c>
      <c r="H257" s="22" t="s">
        <v>659</v>
      </c>
      <c r="I257" s="6">
        <f>G257+$O$1</f>
        <v>45946</v>
      </c>
      <c r="J257" s="26" t="s">
        <v>659</v>
      </c>
      <c r="K257" s="6">
        <f t="shared" si="12"/>
        <v>46126</v>
      </c>
      <c r="M257" s="6">
        <f t="shared" si="13"/>
        <v>46126</v>
      </c>
    </row>
    <row r="258" spans="1:13" x14ac:dyDescent="0.3">
      <c r="A258">
        <v>308</v>
      </c>
      <c r="B258" t="s">
        <v>368</v>
      </c>
      <c r="C258">
        <v>240760</v>
      </c>
      <c r="D258" t="s">
        <v>520</v>
      </c>
      <c r="E258">
        <v>0</v>
      </c>
      <c r="F258" s="1" t="s">
        <v>615</v>
      </c>
      <c r="G258" s="16">
        <v>45776</v>
      </c>
      <c r="H258" s="22" t="s">
        <v>659</v>
      </c>
      <c r="I258" s="6">
        <v>45964</v>
      </c>
      <c r="J258" s="26" t="s">
        <v>408</v>
      </c>
      <c r="K258" s="6">
        <f t="shared" si="12"/>
        <v>46144</v>
      </c>
      <c r="M258" s="6">
        <f t="shared" si="13"/>
        <v>46144</v>
      </c>
    </row>
    <row r="259" spans="1:13" x14ac:dyDescent="0.3">
      <c r="A259">
        <v>312</v>
      </c>
      <c r="B259" t="s">
        <v>364</v>
      </c>
      <c r="C259">
        <v>240737</v>
      </c>
      <c r="D259" t="s">
        <v>524</v>
      </c>
      <c r="E259" t="e">
        <v>#N/A</v>
      </c>
      <c r="F259" s="1" t="s">
        <v>627</v>
      </c>
      <c r="G259" s="16">
        <v>45793</v>
      </c>
      <c r="H259" s="22" t="s">
        <v>659</v>
      </c>
      <c r="I259" s="6">
        <f>G259+$O$1</f>
        <v>45973</v>
      </c>
      <c r="J259" s="26"/>
      <c r="K259" s="6">
        <f t="shared" ref="K259:K322" si="16">I259+$O$1</f>
        <v>46153</v>
      </c>
      <c r="M259" s="6">
        <f t="shared" ref="M259:M322" si="17">IF(H259="Done",IF(J259="Done",IF(L259="Done","-",K259),I259),G259)</f>
        <v>45973</v>
      </c>
    </row>
    <row r="260" spans="1:13" x14ac:dyDescent="0.3">
      <c r="A260">
        <v>317</v>
      </c>
      <c r="B260" t="s">
        <v>364</v>
      </c>
      <c r="C260">
        <v>240735</v>
      </c>
      <c r="D260" t="s">
        <v>529</v>
      </c>
      <c r="E260" t="e">
        <v>#N/A</v>
      </c>
      <c r="F260" s="1" t="s">
        <v>608</v>
      </c>
      <c r="G260" s="16">
        <v>45803</v>
      </c>
      <c r="H260" s="22" t="s">
        <v>659</v>
      </c>
      <c r="I260" s="6">
        <v>45952</v>
      </c>
      <c r="J260" s="22" t="s">
        <v>659</v>
      </c>
      <c r="K260" s="6">
        <f t="shared" si="16"/>
        <v>46132</v>
      </c>
      <c r="M260" s="6">
        <f t="shared" si="17"/>
        <v>46132</v>
      </c>
    </row>
    <row r="261" spans="1:13" x14ac:dyDescent="0.3">
      <c r="A261">
        <v>302</v>
      </c>
      <c r="B261" t="s">
        <v>368</v>
      </c>
      <c r="C261">
        <v>240636</v>
      </c>
      <c r="D261" t="s">
        <v>514</v>
      </c>
      <c r="E261" t="e">
        <v>#N/A</v>
      </c>
      <c r="F261" s="1" t="s">
        <v>611</v>
      </c>
      <c r="G261" s="16">
        <v>45741</v>
      </c>
      <c r="H261" s="22" t="s">
        <v>659</v>
      </c>
      <c r="I261" s="6">
        <v>45887</v>
      </c>
      <c r="J261" s="22" t="s">
        <v>408</v>
      </c>
      <c r="K261" s="6">
        <f t="shared" si="16"/>
        <v>46067</v>
      </c>
      <c r="M261" s="6">
        <f t="shared" si="17"/>
        <v>46067</v>
      </c>
    </row>
    <row r="262" spans="1:13" x14ac:dyDescent="0.3">
      <c r="A262">
        <v>300</v>
      </c>
      <c r="B262" t="s">
        <v>364</v>
      </c>
      <c r="C262">
        <v>240608</v>
      </c>
      <c r="D262" t="s">
        <v>512</v>
      </c>
      <c r="E262" t="s">
        <v>919</v>
      </c>
      <c r="F262" s="1" t="s">
        <v>632</v>
      </c>
      <c r="G262" s="16">
        <v>45735</v>
      </c>
      <c r="H262" s="22" t="s">
        <v>659</v>
      </c>
      <c r="I262" s="6">
        <v>45904</v>
      </c>
      <c r="J262" s="22" t="s">
        <v>408</v>
      </c>
      <c r="K262" s="6">
        <f t="shared" si="16"/>
        <v>46084</v>
      </c>
      <c r="M262" s="6">
        <f t="shared" si="17"/>
        <v>46084</v>
      </c>
    </row>
    <row r="263" spans="1:13" x14ac:dyDescent="0.3">
      <c r="A263">
        <v>292</v>
      </c>
      <c r="B263" t="s">
        <v>368</v>
      </c>
      <c r="C263">
        <v>240539</v>
      </c>
      <c r="D263" t="s">
        <v>504</v>
      </c>
      <c r="E263" t="s">
        <v>915</v>
      </c>
      <c r="F263" s="1" t="s">
        <v>615</v>
      </c>
      <c r="G263" s="6">
        <v>45822</v>
      </c>
      <c r="H263" s="22" t="s">
        <v>659</v>
      </c>
      <c r="I263" s="6">
        <f>G263+$O$1</f>
        <v>46002</v>
      </c>
      <c r="K263" s="6">
        <f t="shared" si="16"/>
        <v>46182</v>
      </c>
      <c r="M263" s="6">
        <f t="shared" si="17"/>
        <v>46002</v>
      </c>
    </row>
    <row r="264" spans="1:13" x14ac:dyDescent="0.3">
      <c r="A264">
        <v>283</v>
      </c>
      <c r="B264" t="s">
        <v>368</v>
      </c>
      <c r="C264">
        <v>240538</v>
      </c>
      <c r="D264" t="s">
        <v>495</v>
      </c>
      <c r="E264" t="s">
        <v>908</v>
      </c>
      <c r="F264" s="1" t="s">
        <v>612</v>
      </c>
      <c r="G264" s="16">
        <v>45666</v>
      </c>
      <c r="H264" s="22" t="s">
        <v>659</v>
      </c>
      <c r="I264" s="6">
        <v>45880</v>
      </c>
      <c r="J264" s="22" t="s">
        <v>408</v>
      </c>
      <c r="K264" s="6">
        <f t="shared" si="16"/>
        <v>46060</v>
      </c>
      <c r="M264" s="6">
        <f t="shared" si="17"/>
        <v>46060</v>
      </c>
    </row>
    <row r="265" spans="1:13" x14ac:dyDescent="0.3">
      <c r="A265">
        <v>284</v>
      </c>
      <c r="B265" t="s">
        <v>368</v>
      </c>
      <c r="C265">
        <v>240528</v>
      </c>
      <c r="D265" t="s">
        <v>496</v>
      </c>
      <c r="E265" t="s">
        <v>909</v>
      </c>
      <c r="F265" s="1" t="s">
        <v>617</v>
      </c>
      <c r="G265" s="6">
        <v>45693</v>
      </c>
      <c r="H265" s="22" t="s">
        <v>659</v>
      </c>
      <c r="I265" s="6">
        <v>45863</v>
      </c>
      <c r="J265" s="22" t="s">
        <v>659</v>
      </c>
      <c r="K265" s="6">
        <f t="shared" si="16"/>
        <v>46043</v>
      </c>
      <c r="M265" s="6">
        <f t="shared" si="17"/>
        <v>46043</v>
      </c>
    </row>
    <row r="266" spans="1:13" x14ac:dyDescent="0.3">
      <c r="A266">
        <v>276</v>
      </c>
      <c r="B266" t="s">
        <v>368</v>
      </c>
      <c r="C266">
        <v>240526</v>
      </c>
      <c r="D266" t="s">
        <v>488</v>
      </c>
      <c r="E266" t="s">
        <v>902</v>
      </c>
      <c r="F266" s="1" t="s">
        <v>656</v>
      </c>
      <c r="G266" s="6">
        <v>45831</v>
      </c>
      <c r="H266" s="22" t="s">
        <v>659</v>
      </c>
      <c r="I266" s="6">
        <v>45896</v>
      </c>
      <c r="J266" s="22" t="s">
        <v>408</v>
      </c>
      <c r="K266" s="6">
        <f t="shared" si="16"/>
        <v>46076</v>
      </c>
      <c r="M266" s="6">
        <f t="shared" si="17"/>
        <v>46076</v>
      </c>
    </row>
    <row r="267" spans="1:13" x14ac:dyDescent="0.3">
      <c r="A267">
        <v>266</v>
      </c>
      <c r="B267" t="s">
        <v>368</v>
      </c>
      <c r="C267">
        <v>240477</v>
      </c>
      <c r="D267" t="s">
        <v>478</v>
      </c>
      <c r="E267" t="s">
        <v>894</v>
      </c>
      <c r="F267" s="1" t="s">
        <v>615</v>
      </c>
      <c r="G267" s="6">
        <v>45863</v>
      </c>
      <c r="H267" s="22" t="s">
        <v>408</v>
      </c>
      <c r="I267" s="6">
        <f>G267+$O$1</f>
        <v>46043</v>
      </c>
      <c r="K267" s="6">
        <f t="shared" si="16"/>
        <v>46223</v>
      </c>
      <c r="M267" s="6">
        <f t="shared" si="17"/>
        <v>46043</v>
      </c>
    </row>
    <row r="268" spans="1:13" x14ac:dyDescent="0.3">
      <c r="A268">
        <v>261</v>
      </c>
      <c r="B268" t="s">
        <v>368</v>
      </c>
      <c r="C268">
        <v>240476</v>
      </c>
      <c r="D268" t="s">
        <v>473</v>
      </c>
      <c r="E268">
        <v>0</v>
      </c>
      <c r="F268" s="1" t="s">
        <v>639</v>
      </c>
      <c r="G268" s="6">
        <v>45817</v>
      </c>
      <c r="H268" s="16" t="s">
        <v>408</v>
      </c>
      <c r="I268" s="6">
        <f>G268+$O$1</f>
        <v>45997</v>
      </c>
      <c r="K268" s="6">
        <f t="shared" si="16"/>
        <v>46177</v>
      </c>
      <c r="M268" s="6">
        <f t="shared" si="17"/>
        <v>45997</v>
      </c>
    </row>
    <row r="269" spans="1:13" x14ac:dyDescent="0.3">
      <c r="A269">
        <v>262</v>
      </c>
      <c r="B269" t="s">
        <v>368</v>
      </c>
      <c r="C269">
        <v>240475</v>
      </c>
      <c r="D269" t="s">
        <v>474</v>
      </c>
      <c r="E269" t="s">
        <v>891</v>
      </c>
      <c r="F269" s="1" t="s">
        <v>608</v>
      </c>
      <c r="G269" s="6">
        <v>45796</v>
      </c>
      <c r="H269" s="22" t="s">
        <v>659</v>
      </c>
      <c r="I269" s="6">
        <f>G269+$O$1</f>
        <v>45976</v>
      </c>
      <c r="J269" s="26"/>
      <c r="K269" s="6">
        <f t="shared" si="16"/>
        <v>46156</v>
      </c>
      <c r="M269" s="6">
        <f t="shared" si="17"/>
        <v>45976</v>
      </c>
    </row>
    <row r="270" spans="1:13" x14ac:dyDescent="0.3">
      <c r="A270">
        <v>297</v>
      </c>
      <c r="B270" t="s">
        <v>363</v>
      </c>
      <c r="C270">
        <v>240434</v>
      </c>
      <c r="D270" t="s">
        <v>509</v>
      </c>
      <c r="E270" t="s">
        <v>917</v>
      </c>
      <c r="F270" s="1" t="s">
        <v>617</v>
      </c>
      <c r="G270" s="16">
        <v>45720</v>
      </c>
      <c r="H270" s="22" t="s">
        <v>408</v>
      </c>
      <c r="I270" s="6">
        <v>45889</v>
      </c>
      <c r="J270" s="22" t="s">
        <v>408</v>
      </c>
      <c r="K270" s="6">
        <f t="shared" si="16"/>
        <v>46069</v>
      </c>
      <c r="M270" s="6">
        <f t="shared" si="17"/>
        <v>46069</v>
      </c>
    </row>
    <row r="271" spans="1:13" x14ac:dyDescent="0.3">
      <c r="A271">
        <v>269</v>
      </c>
      <c r="B271" t="s">
        <v>368</v>
      </c>
      <c r="C271">
        <v>240432</v>
      </c>
      <c r="D271" t="s">
        <v>481</v>
      </c>
      <c r="E271" t="s">
        <v>897</v>
      </c>
      <c r="F271" s="1" t="s">
        <v>615</v>
      </c>
      <c r="G271" s="6">
        <v>46007</v>
      </c>
      <c r="H271" s="22" t="s">
        <v>408</v>
      </c>
      <c r="I271" s="6">
        <v>45842</v>
      </c>
      <c r="J271" s="22" t="s">
        <v>408</v>
      </c>
      <c r="K271" s="6">
        <f t="shared" si="16"/>
        <v>46022</v>
      </c>
      <c r="M271" s="6">
        <f t="shared" si="17"/>
        <v>46022</v>
      </c>
    </row>
    <row r="272" spans="1:13" x14ac:dyDescent="0.3">
      <c r="A272">
        <v>254</v>
      </c>
      <c r="B272" t="s">
        <v>368</v>
      </c>
      <c r="C272">
        <v>240429</v>
      </c>
      <c r="D272" t="s">
        <v>467</v>
      </c>
      <c r="E272" t="s">
        <v>886</v>
      </c>
      <c r="F272" s="1" t="s">
        <v>608</v>
      </c>
      <c r="G272" s="6">
        <v>45812</v>
      </c>
      <c r="H272" s="22" t="s">
        <v>408</v>
      </c>
      <c r="I272" s="6">
        <f>G272+$O$1</f>
        <v>45992</v>
      </c>
      <c r="J272" s="26"/>
      <c r="K272" s="6">
        <f t="shared" si="16"/>
        <v>46172</v>
      </c>
      <c r="M272" s="6">
        <f t="shared" si="17"/>
        <v>45992</v>
      </c>
    </row>
    <row r="273" spans="1:13" x14ac:dyDescent="0.3">
      <c r="A273">
        <v>275</v>
      </c>
      <c r="B273" t="s">
        <v>364</v>
      </c>
      <c r="C273">
        <v>240380</v>
      </c>
      <c r="D273" t="s">
        <v>487</v>
      </c>
      <c r="E273" t="s">
        <v>901</v>
      </c>
      <c r="F273" s="1" t="s">
        <v>610</v>
      </c>
      <c r="G273" s="6">
        <v>45672</v>
      </c>
      <c r="H273" s="22" t="s">
        <v>659</v>
      </c>
      <c r="I273" s="6">
        <v>45864</v>
      </c>
      <c r="J273" s="22" t="s">
        <v>408</v>
      </c>
      <c r="K273" s="6">
        <f t="shared" si="16"/>
        <v>46044</v>
      </c>
      <c r="M273" s="6">
        <f t="shared" si="17"/>
        <v>46044</v>
      </c>
    </row>
    <row r="274" spans="1:13" x14ac:dyDescent="0.3">
      <c r="A274">
        <v>259</v>
      </c>
      <c r="B274" t="s">
        <v>364</v>
      </c>
      <c r="C274">
        <v>240373</v>
      </c>
      <c r="D274" t="s">
        <v>471</v>
      </c>
      <c r="E274" t="s">
        <v>890</v>
      </c>
      <c r="F274" s="1" t="s">
        <v>608</v>
      </c>
      <c r="G274" s="6">
        <v>45860</v>
      </c>
      <c r="H274" s="22" t="s">
        <v>408</v>
      </c>
      <c r="I274" s="6">
        <f>G274+$O$1</f>
        <v>46040</v>
      </c>
      <c r="K274" s="6">
        <f t="shared" si="16"/>
        <v>46220</v>
      </c>
      <c r="M274" s="6">
        <f t="shared" si="17"/>
        <v>46040</v>
      </c>
    </row>
    <row r="275" spans="1:13" x14ac:dyDescent="0.3">
      <c r="A275">
        <v>260</v>
      </c>
      <c r="B275" t="s">
        <v>368</v>
      </c>
      <c r="C275">
        <v>240339</v>
      </c>
      <c r="D275" t="s">
        <v>472</v>
      </c>
      <c r="E275" t="s">
        <v>1286</v>
      </c>
      <c r="F275" s="1" t="s">
        <v>618</v>
      </c>
      <c r="G275" s="6">
        <v>45786</v>
      </c>
      <c r="H275" s="22" t="s">
        <v>659</v>
      </c>
      <c r="I275" s="6">
        <v>45984</v>
      </c>
      <c r="J275" s="22" t="s">
        <v>408</v>
      </c>
      <c r="K275" s="6">
        <f t="shared" si="16"/>
        <v>46164</v>
      </c>
      <c r="M275" s="6">
        <f t="shared" si="17"/>
        <v>46164</v>
      </c>
    </row>
    <row r="276" spans="1:13" x14ac:dyDescent="0.3">
      <c r="A276">
        <v>244</v>
      </c>
      <c r="B276" t="s">
        <v>368</v>
      </c>
      <c r="C276">
        <v>240244</v>
      </c>
      <c r="D276" t="s">
        <v>457</v>
      </c>
      <c r="E276" t="s">
        <v>878</v>
      </c>
      <c r="F276" s="1" t="s">
        <v>618</v>
      </c>
      <c r="G276" s="6">
        <v>45825</v>
      </c>
      <c r="H276" s="22" t="s">
        <v>659</v>
      </c>
      <c r="I276" s="6">
        <v>45996</v>
      </c>
      <c r="J276" s="26" t="s">
        <v>659</v>
      </c>
      <c r="K276" s="6">
        <f t="shared" si="16"/>
        <v>46176</v>
      </c>
      <c r="M276" s="6">
        <f t="shared" si="17"/>
        <v>46176</v>
      </c>
    </row>
    <row r="277" spans="1:13" x14ac:dyDescent="0.3">
      <c r="A277">
        <v>242</v>
      </c>
      <c r="B277" t="s">
        <v>368</v>
      </c>
      <c r="C277">
        <v>240193</v>
      </c>
      <c r="D277" t="s">
        <v>200</v>
      </c>
      <c r="E277" t="s">
        <v>876</v>
      </c>
      <c r="F277" s="1" t="s">
        <v>641</v>
      </c>
      <c r="G277" s="6">
        <v>45609</v>
      </c>
      <c r="H277" s="22" t="s">
        <v>659</v>
      </c>
      <c r="I277" s="6">
        <v>45856</v>
      </c>
      <c r="J277" s="22" t="s">
        <v>408</v>
      </c>
      <c r="K277" s="6">
        <f t="shared" si="16"/>
        <v>46036</v>
      </c>
      <c r="M277" s="6">
        <f t="shared" si="17"/>
        <v>46036</v>
      </c>
    </row>
    <row r="278" spans="1:13" x14ac:dyDescent="0.3">
      <c r="A278">
        <v>229</v>
      </c>
      <c r="B278" t="s">
        <v>368</v>
      </c>
      <c r="C278">
        <v>240137</v>
      </c>
      <c r="D278" t="s">
        <v>444</v>
      </c>
      <c r="E278" t="s">
        <v>865</v>
      </c>
      <c r="F278" s="1" t="s">
        <v>608</v>
      </c>
      <c r="G278" s="6">
        <v>45829</v>
      </c>
      <c r="H278" s="22" t="s">
        <v>659</v>
      </c>
      <c r="I278" s="6">
        <f t="shared" ref="I278:I289" si="18">G278+$O$1</f>
        <v>46009</v>
      </c>
      <c r="J278" s="26"/>
      <c r="K278" s="6">
        <f t="shared" si="16"/>
        <v>46189</v>
      </c>
      <c r="M278" s="6">
        <f t="shared" si="17"/>
        <v>46009</v>
      </c>
    </row>
    <row r="279" spans="1:13" x14ac:dyDescent="0.3">
      <c r="A279">
        <v>258</v>
      </c>
      <c r="B279" t="s">
        <v>364</v>
      </c>
      <c r="C279">
        <v>240136</v>
      </c>
      <c r="D279" t="s">
        <v>470</v>
      </c>
      <c r="E279" t="s">
        <v>889</v>
      </c>
      <c r="F279" s="1" t="s">
        <v>632</v>
      </c>
      <c r="G279" s="6">
        <v>45730</v>
      </c>
      <c r="H279" s="16" t="s">
        <v>659</v>
      </c>
      <c r="I279" s="6">
        <f t="shared" si="18"/>
        <v>45910</v>
      </c>
      <c r="J279" s="26" t="s">
        <v>1599</v>
      </c>
      <c r="K279" s="6">
        <f t="shared" si="16"/>
        <v>46090</v>
      </c>
      <c r="M279" s="6">
        <f t="shared" si="17"/>
        <v>45910</v>
      </c>
    </row>
    <row r="280" spans="1:13" x14ac:dyDescent="0.3">
      <c r="A280">
        <v>257</v>
      </c>
      <c r="B280" t="s">
        <v>364</v>
      </c>
      <c r="C280">
        <v>240135</v>
      </c>
      <c r="D280" t="s">
        <v>470</v>
      </c>
      <c r="E280" t="s">
        <v>889</v>
      </c>
      <c r="F280" s="1" t="s">
        <v>632</v>
      </c>
      <c r="G280" s="6">
        <v>45730</v>
      </c>
      <c r="H280" s="16" t="s">
        <v>659</v>
      </c>
      <c r="I280" s="6">
        <f t="shared" si="18"/>
        <v>45910</v>
      </c>
      <c r="J280" s="26"/>
      <c r="K280" s="6">
        <f t="shared" si="16"/>
        <v>46090</v>
      </c>
      <c r="M280" s="6">
        <f t="shared" si="17"/>
        <v>45910</v>
      </c>
    </row>
    <row r="281" spans="1:13" x14ac:dyDescent="0.3">
      <c r="A281">
        <v>255</v>
      </c>
      <c r="B281" t="s">
        <v>368</v>
      </c>
      <c r="C281">
        <v>240056</v>
      </c>
      <c r="D281" t="s">
        <v>468</v>
      </c>
      <c r="E281" t="s">
        <v>887</v>
      </c>
      <c r="F281" s="1" t="s">
        <v>646</v>
      </c>
      <c r="G281" s="6">
        <v>45822</v>
      </c>
      <c r="H281" s="22" t="s">
        <v>659</v>
      </c>
      <c r="I281" s="6">
        <f t="shared" si="18"/>
        <v>46002</v>
      </c>
      <c r="J281" s="26" t="s">
        <v>659</v>
      </c>
      <c r="K281" s="6">
        <f t="shared" si="16"/>
        <v>46182</v>
      </c>
      <c r="M281" s="6">
        <f t="shared" si="17"/>
        <v>46182</v>
      </c>
    </row>
    <row r="282" spans="1:13" x14ac:dyDescent="0.3">
      <c r="A282">
        <v>241</v>
      </c>
      <c r="B282" t="s">
        <v>363</v>
      </c>
      <c r="C282">
        <v>230929</v>
      </c>
      <c r="D282" t="s">
        <v>455</v>
      </c>
      <c r="E282" t="s">
        <v>875</v>
      </c>
      <c r="F282" s="1" t="s">
        <v>608</v>
      </c>
      <c r="G282" s="6">
        <v>45799</v>
      </c>
      <c r="H282" s="22" t="s">
        <v>659</v>
      </c>
      <c r="I282" s="6">
        <f t="shared" si="18"/>
        <v>45979</v>
      </c>
      <c r="K282" s="6">
        <f t="shared" si="16"/>
        <v>46159</v>
      </c>
      <c r="M282" s="6">
        <f t="shared" si="17"/>
        <v>45979</v>
      </c>
    </row>
    <row r="283" spans="1:13" x14ac:dyDescent="0.3">
      <c r="A283">
        <v>238</v>
      </c>
      <c r="B283" t="s">
        <v>368</v>
      </c>
      <c r="C283">
        <v>230892</v>
      </c>
      <c r="D283" t="s">
        <v>452</v>
      </c>
      <c r="E283" t="s">
        <v>873</v>
      </c>
      <c r="F283" s="1" t="s">
        <v>641</v>
      </c>
      <c r="G283" s="6">
        <v>45656</v>
      </c>
      <c r="H283" s="26" t="s">
        <v>659</v>
      </c>
      <c r="I283" s="6">
        <f t="shared" si="18"/>
        <v>45836</v>
      </c>
      <c r="J283" s="26"/>
      <c r="K283" s="6">
        <f t="shared" si="16"/>
        <v>46016</v>
      </c>
      <c r="M283" s="6">
        <f t="shared" si="17"/>
        <v>45836</v>
      </c>
    </row>
    <row r="284" spans="1:13" x14ac:dyDescent="0.3">
      <c r="A284">
        <v>210</v>
      </c>
      <c r="B284" t="s">
        <v>364</v>
      </c>
      <c r="C284">
        <v>230882</v>
      </c>
      <c r="D284" t="s">
        <v>171</v>
      </c>
      <c r="E284" t="s">
        <v>848</v>
      </c>
      <c r="F284" s="1" t="s">
        <v>627</v>
      </c>
      <c r="G284" s="6">
        <v>45866</v>
      </c>
      <c r="H284" s="22" t="s">
        <v>408</v>
      </c>
      <c r="I284" s="6">
        <f t="shared" si="18"/>
        <v>46046</v>
      </c>
      <c r="K284" s="6">
        <f t="shared" si="16"/>
        <v>46226</v>
      </c>
      <c r="M284" s="6">
        <f t="shared" si="17"/>
        <v>46046</v>
      </c>
    </row>
    <row r="285" spans="1:13" x14ac:dyDescent="0.3">
      <c r="A285">
        <v>245</v>
      </c>
      <c r="B285" t="s">
        <v>368</v>
      </c>
      <c r="C285">
        <v>230877</v>
      </c>
      <c r="D285" t="s">
        <v>458</v>
      </c>
      <c r="E285" t="s">
        <v>879</v>
      </c>
      <c r="F285" s="1" t="s">
        <v>654</v>
      </c>
      <c r="G285" s="6">
        <v>45810</v>
      </c>
      <c r="H285" s="22" t="s">
        <v>659</v>
      </c>
      <c r="I285" s="6">
        <f t="shared" si="18"/>
        <v>45990</v>
      </c>
      <c r="K285" s="6">
        <f t="shared" si="16"/>
        <v>46170</v>
      </c>
      <c r="M285" s="6">
        <f t="shared" si="17"/>
        <v>45990</v>
      </c>
    </row>
    <row r="286" spans="1:13" x14ac:dyDescent="0.3">
      <c r="A286">
        <v>224</v>
      </c>
      <c r="B286" t="s">
        <v>368</v>
      </c>
      <c r="C286">
        <v>230811</v>
      </c>
      <c r="D286" t="s">
        <v>439</v>
      </c>
      <c r="E286" t="s">
        <v>861</v>
      </c>
      <c r="F286" s="1" t="s">
        <v>627</v>
      </c>
      <c r="G286" s="6">
        <v>45852</v>
      </c>
      <c r="H286" s="22" t="s">
        <v>408</v>
      </c>
      <c r="I286" s="6">
        <f t="shared" si="18"/>
        <v>46032</v>
      </c>
      <c r="K286" s="6">
        <f t="shared" si="16"/>
        <v>46212</v>
      </c>
      <c r="M286" s="6">
        <f t="shared" si="17"/>
        <v>46032</v>
      </c>
    </row>
    <row r="287" spans="1:13" x14ac:dyDescent="0.3">
      <c r="A287">
        <v>198</v>
      </c>
      <c r="B287" t="s">
        <v>364</v>
      </c>
      <c r="C287">
        <v>230787</v>
      </c>
      <c r="D287" t="s">
        <v>133</v>
      </c>
      <c r="E287" t="s">
        <v>836</v>
      </c>
      <c r="F287" s="1" t="s">
        <v>613</v>
      </c>
      <c r="G287" s="6">
        <v>45780</v>
      </c>
      <c r="H287" s="22" t="s">
        <v>408</v>
      </c>
      <c r="I287" s="6">
        <f t="shared" si="18"/>
        <v>45960</v>
      </c>
      <c r="J287" s="26"/>
      <c r="K287" s="6">
        <f t="shared" si="16"/>
        <v>46140</v>
      </c>
      <c r="M287" s="6">
        <f t="shared" si="17"/>
        <v>45960</v>
      </c>
    </row>
    <row r="288" spans="1:13" x14ac:dyDescent="0.3">
      <c r="A288">
        <v>202</v>
      </c>
      <c r="B288" t="s">
        <v>368</v>
      </c>
      <c r="C288">
        <v>230738</v>
      </c>
      <c r="D288" t="s">
        <v>173</v>
      </c>
      <c r="E288" t="s">
        <v>840</v>
      </c>
      <c r="F288" s="1" t="s">
        <v>615</v>
      </c>
      <c r="G288" s="6">
        <v>45794</v>
      </c>
      <c r="H288" s="22" t="s">
        <v>408</v>
      </c>
      <c r="I288" s="6">
        <f t="shared" si="18"/>
        <v>45974</v>
      </c>
      <c r="J288" s="26"/>
      <c r="K288" s="6">
        <f t="shared" si="16"/>
        <v>46154</v>
      </c>
      <c r="M288" s="6">
        <f t="shared" si="17"/>
        <v>45974</v>
      </c>
    </row>
    <row r="289" spans="1:13" x14ac:dyDescent="0.3">
      <c r="A289">
        <v>231</v>
      </c>
      <c r="B289" t="s">
        <v>364</v>
      </c>
      <c r="C289">
        <v>230723</v>
      </c>
      <c r="D289" t="s">
        <v>165</v>
      </c>
      <c r="E289" t="s">
        <v>866</v>
      </c>
      <c r="F289" s="1" t="s">
        <v>610</v>
      </c>
      <c r="G289" s="6">
        <v>45878</v>
      </c>
      <c r="H289" s="22" t="s">
        <v>408</v>
      </c>
      <c r="I289" s="6">
        <f t="shared" si="18"/>
        <v>46058</v>
      </c>
      <c r="K289" s="6">
        <f t="shared" si="16"/>
        <v>46238</v>
      </c>
      <c r="M289" s="6">
        <f t="shared" si="17"/>
        <v>46058</v>
      </c>
    </row>
    <row r="290" spans="1:13" x14ac:dyDescent="0.3">
      <c r="A290">
        <v>189</v>
      </c>
      <c r="B290" t="s">
        <v>368</v>
      </c>
      <c r="C290">
        <v>230720</v>
      </c>
      <c r="D290" t="s">
        <v>176</v>
      </c>
      <c r="E290" t="s">
        <v>827</v>
      </c>
      <c r="F290" s="1" t="s">
        <v>610</v>
      </c>
      <c r="G290" s="6">
        <v>45554</v>
      </c>
      <c r="H290" s="22" t="s">
        <v>659</v>
      </c>
      <c r="I290" s="6">
        <v>45849</v>
      </c>
      <c r="J290" s="22" t="s">
        <v>408</v>
      </c>
      <c r="K290" s="6">
        <f t="shared" si="16"/>
        <v>46029</v>
      </c>
      <c r="M290" s="6">
        <f t="shared" si="17"/>
        <v>46029</v>
      </c>
    </row>
    <row r="291" spans="1:13" x14ac:dyDescent="0.3">
      <c r="A291">
        <v>227</v>
      </c>
      <c r="B291" t="s">
        <v>368</v>
      </c>
      <c r="C291">
        <v>230718</v>
      </c>
      <c r="D291" t="s">
        <v>442</v>
      </c>
      <c r="E291" t="s">
        <v>1234</v>
      </c>
      <c r="F291" s="1" t="s">
        <v>608</v>
      </c>
      <c r="H291" s="26"/>
      <c r="I291" s="6">
        <f>G291+$O$1</f>
        <v>180</v>
      </c>
      <c r="K291" s="6">
        <f t="shared" si="16"/>
        <v>360</v>
      </c>
      <c r="M291" s="6">
        <f t="shared" si="17"/>
        <v>0</v>
      </c>
    </row>
    <row r="292" spans="1:13" x14ac:dyDescent="0.3">
      <c r="A292">
        <v>192</v>
      </c>
      <c r="B292" t="s">
        <v>364</v>
      </c>
      <c r="C292" s="33">
        <v>230704</v>
      </c>
      <c r="D292" t="s">
        <v>174</v>
      </c>
      <c r="E292" t="s">
        <v>830</v>
      </c>
      <c r="F292" s="1" t="s">
        <v>625</v>
      </c>
      <c r="G292" s="6">
        <v>45472</v>
      </c>
      <c r="H292" s="26" t="s">
        <v>659</v>
      </c>
      <c r="I292" s="6">
        <f>G292+$O$1</f>
        <v>45652</v>
      </c>
      <c r="K292" s="6">
        <f t="shared" si="16"/>
        <v>45832</v>
      </c>
      <c r="M292" s="6">
        <f t="shared" si="17"/>
        <v>45652</v>
      </c>
    </row>
    <row r="293" spans="1:13" x14ac:dyDescent="0.3">
      <c r="A293">
        <v>177</v>
      </c>
      <c r="B293" t="s">
        <v>367</v>
      </c>
      <c r="C293">
        <v>230648</v>
      </c>
      <c r="D293" t="s">
        <v>169</v>
      </c>
      <c r="E293" t="s">
        <v>817</v>
      </c>
      <c r="F293" s="1" t="s">
        <v>608</v>
      </c>
      <c r="G293" s="6">
        <v>45799</v>
      </c>
      <c r="H293" s="22" t="s">
        <v>659</v>
      </c>
      <c r="I293" s="6">
        <f>G293+$O$1</f>
        <v>45979</v>
      </c>
      <c r="J293" s="26"/>
      <c r="K293" s="6">
        <f t="shared" si="16"/>
        <v>46159</v>
      </c>
      <c r="M293" s="6">
        <f t="shared" si="17"/>
        <v>45979</v>
      </c>
    </row>
    <row r="294" spans="1:13" x14ac:dyDescent="0.3">
      <c r="A294">
        <v>201</v>
      </c>
      <c r="B294" t="s">
        <v>368</v>
      </c>
      <c r="C294">
        <v>230637</v>
      </c>
      <c r="D294" t="s">
        <v>55</v>
      </c>
      <c r="E294" t="s">
        <v>839</v>
      </c>
      <c r="F294" s="1" t="s">
        <v>617</v>
      </c>
      <c r="G294" s="6">
        <v>45682</v>
      </c>
      <c r="H294" s="22" t="s">
        <v>408</v>
      </c>
      <c r="I294" s="6">
        <v>45878</v>
      </c>
      <c r="J294" s="22" t="s">
        <v>408</v>
      </c>
      <c r="K294" s="6">
        <f t="shared" si="16"/>
        <v>46058</v>
      </c>
      <c r="M294" s="6">
        <f t="shared" si="17"/>
        <v>46058</v>
      </c>
    </row>
    <row r="295" spans="1:13" x14ac:dyDescent="0.3">
      <c r="A295">
        <v>290</v>
      </c>
      <c r="B295" t="s">
        <v>533</v>
      </c>
      <c r="C295">
        <v>230633</v>
      </c>
      <c r="D295" t="s">
        <v>502</v>
      </c>
      <c r="E295" t="s">
        <v>914</v>
      </c>
      <c r="F295" s="1" t="s">
        <v>608</v>
      </c>
      <c r="G295" s="16">
        <v>45688</v>
      </c>
      <c r="H295" s="22" t="s">
        <v>659</v>
      </c>
      <c r="I295" s="6">
        <v>45780</v>
      </c>
      <c r="J295" s="22" t="s">
        <v>408</v>
      </c>
      <c r="K295" s="6">
        <f t="shared" si="16"/>
        <v>45960</v>
      </c>
      <c r="M295" s="6">
        <f t="shared" si="17"/>
        <v>45960</v>
      </c>
    </row>
    <row r="296" spans="1:13" x14ac:dyDescent="0.3">
      <c r="A296">
        <v>235</v>
      </c>
      <c r="B296" t="s">
        <v>368</v>
      </c>
      <c r="C296">
        <v>230615</v>
      </c>
      <c r="D296" t="s">
        <v>449</v>
      </c>
      <c r="E296" t="s">
        <v>870</v>
      </c>
      <c r="F296" s="1" t="s">
        <v>634</v>
      </c>
      <c r="G296" s="6">
        <v>45859</v>
      </c>
      <c r="H296" s="22" t="s">
        <v>659</v>
      </c>
      <c r="I296" s="6">
        <f t="shared" ref="I296:I315" si="19">G296+$O$1</f>
        <v>46039</v>
      </c>
      <c r="J296" s="6" t="s">
        <v>1598</v>
      </c>
      <c r="K296" s="6">
        <f t="shared" si="16"/>
        <v>46219</v>
      </c>
      <c r="M296" s="6">
        <f t="shared" si="17"/>
        <v>46039</v>
      </c>
    </row>
    <row r="297" spans="1:13" x14ac:dyDescent="0.3">
      <c r="A297">
        <v>234</v>
      </c>
      <c r="B297" t="s">
        <v>367</v>
      </c>
      <c r="C297">
        <v>230613</v>
      </c>
      <c r="D297" t="s">
        <v>448</v>
      </c>
      <c r="E297" t="s">
        <v>869</v>
      </c>
      <c r="F297" s="1" t="s">
        <v>617</v>
      </c>
      <c r="G297" s="6">
        <v>45825</v>
      </c>
      <c r="H297" s="22" t="s">
        <v>408</v>
      </c>
      <c r="I297" s="6">
        <f t="shared" si="19"/>
        <v>46005</v>
      </c>
      <c r="J297" s="26" t="s">
        <v>659</v>
      </c>
      <c r="K297" s="6">
        <f t="shared" si="16"/>
        <v>46185</v>
      </c>
      <c r="M297" s="6">
        <f t="shared" si="17"/>
        <v>46185</v>
      </c>
    </row>
    <row r="298" spans="1:13" x14ac:dyDescent="0.3">
      <c r="A298">
        <v>176</v>
      </c>
      <c r="B298" t="s">
        <v>368</v>
      </c>
      <c r="C298">
        <v>230611</v>
      </c>
      <c r="D298" t="s">
        <v>158</v>
      </c>
      <c r="E298" t="s">
        <v>816</v>
      </c>
      <c r="F298" s="1" t="s">
        <v>641</v>
      </c>
      <c r="G298" s="6">
        <v>45856</v>
      </c>
      <c r="H298" s="22" t="s">
        <v>408</v>
      </c>
      <c r="I298" s="6">
        <f t="shared" si="19"/>
        <v>46036</v>
      </c>
      <c r="J298" s="26"/>
      <c r="K298" s="6">
        <f t="shared" si="16"/>
        <v>46216</v>
      </c>
      <c r="M298" s="6">
        <f t="shared" si="17"/>
        <v>46036</v>
      </c>
    </row>
    <row r="299" spans="1:13" x14ac:dyDescent="0.3">
      <c r="A299">
        <v>236</v>
      </c>
      <c r="B299" t="s">
        <v>531</v>
      </c>
      <c r="C299">
        <v>230594</v>
      </c>
      <c r="D299" t="s">
        <v>450</v>
      </c>
      <c r="E299" t="s">
        <v>871</v>
      </c>
      <c r="F299" s="1" t="s">
        <v>632</v>
      </c>
      <c r="G299" s="6">
        <v>45787</v>
      </c>
      <c r="H299" s="22" t="s">
        <v>408</v>
      </c>
      <c r="I299" s="6">
        <f t="shared" si="19"/>
        <v>45967</v>
      </c>
      <c r="J299" s="26"/>
      <c r="K299" s="6">
        <f t="shared" si="16"/>
        <v>46147</v>
      </c>
      <c r="M299" s="6">
        <f t="shared" si="17"/>
        <v>45967</v>
      </c>
    </row>
    <row r="300" spans="1:13" x14ac:dyDescent="0.3">
      <c r="A300">
        <v>173</v>
      </c>
      <c r="B300" t="s">
        <v>367</v>
      </c>
      <c r="C300">
        <v>230573</v>
      </c>
      <c r="D300" t="s">
        <v>168</v>
      </c>
      <c r="E300" t="s">
        <v>813</v>
      </c>
      <c r="F300" s="1" t="s">
        <v>627</v>
      </c>
      <c r="G300" s="6">
        <v>45802</v>
      </c>
      <c r="H300" s="22" t="s">
        <v>659</v>
      </c>
      <c r="I300" s="6">
        <f t="shared" si="19"/>
        <v>45982</v>
      </c>
      <c r="J300" s="26"/>
      <c r="K300" s="6">
        <f t="shared" si="16"/>
        <v>46162</v>
      </c>
      <c r="M300" s="6">
        <f t="shared" si="17"/>
        <v>45982</v>
      </c>
    </row>
    <row r="301" spans="1:13" x14ac:dyDescent="0.3">
      <c r="A301">
        <v>175</v>
      </c>
      <c r="B301" t="s">
        <v>363</v>
      </c>
      <c r="C301">
        <v>230559</v>
      </c>
      <c r="D301" t="s">
        <v>428</v>
      </c>
      <c r="E301" t="s">
        <v>815</v>
      </c>
      <c r="F301" s="1" t="s">
        <v>610</v>
      </c>
      <c r="G301" s="6">
        <v>45868</v>
      </c>
      <c r="H301" s="22" t="s">
        <v>408</v>
      </c>
      <c r="I301" s="6">
        <f t="shared" si="19"/>
        <v>46048</v>
      </c>
      <c r="K301" s="6">
        <f t="shared" si="16"/>
        <v>46228</v>
      </c>
      <c r="M301" s="6">
        <f t="shared" si="17"/>
        <v>46048</v>
      </c>
    </row>
    <row r="302" spans="1:13" x14ac:dyDescent="0.3">
      <c r="A302">
        <v>167</v>
      </c>
      <c r="B302" t="s">
        <v>365</v>
      </c>
      <c r="C302">
        <v>230557</v>
      </c>
      <c r="D302" t="s">
        <v>167</v>
      </c>
      <c r="E302" t="s">
        <v>807</v>
      </c>
      <c r="F302" s="1" t="s">
        <v>615</v>
      </c>
      <c r="G302" s="6">
        <v>45794</v>
      </c>
      <c r="H302" s="22" t="s">
        <v>659</v>
      </c>
      <c r="I302" s="6">
        <f t="shared" si="19"/>
        <v>45974</v>
      </c>
      <c r="J302" s="26"/>
      <c r="K302" s="6">
        <f t="shared" si="16"/>
        <v>46154</v>
      </c>
      <c r="M302" s="6">
        <f t="shared" si="17"/>
        <v>45974</v>
      </c>
    </row>
    <row r="303" spans="1:13" x14ac:dyDescent="0.3">
      <c r="A303">
        <v>188</v>
      </c>
      <c r="B303" t="s">
        <v>364</v>
      </c>
      <c r="C303">
        <v>230511</v>
      </c>
      <c r="D303" t="s">
        <v>164</v>
      </c>
      <c r="E303" t="s">
        <v>826</v>
      </c>
      <c r="F303" s="1" t="s">
        <v>627</v>
      </c>
      <c r="G303" s="6">
        <v>45804</v>
      </c>
      <c r="H303" s="22" t="s">
        <v>408</v>
      </c>
      <c r="I303" s="6">
        <f t="shared" si="19"/>
        <v>45984</v>
      </c>
      <c r="J303" s="26"/>
      <c r="K303" s="6">
        <f t="shared" si="16"/>
        <v>46164</v>
      </c>
      <c r="M303" s="6">
        <f t="shared" si="17"/>
        <v>45984</v>
      </c>
    </row>
    <row r="304" spans="1:13" x14ac:dyDescent="0.3">
      <c r="A304">
        <v>158</v>
      </c>
      <c r="B304" t="s">
        <v>363</v>
      </c>
      <c r="C304">
        <v>230484</v>
      </c>
      <c r="D304" t="s">
        <v>161</v>
      </c>
      <c r="E304" t="s">
        <v>800</v>
      </c>
      <c r="F304" s="1" t="s">
        <v>628</v>
      </c>
      <c r="I304" s="6">
        <f t="shared" si="19"/>
        <v>180</v>
      </c>
      <c r="K304" s="6">
        <f t="shared" si="16"/>
        <v>360</v>
      </c>
      <c r="M304" s="6">
        <f t="shared" si="17"/>
        <v>0</v>
      </c>
    </row>
    <row r="305" spans="1:13" x14ac:dyDescent="0.3">
      <c r="A305">
        <v>157</v>
      </c>
      <c r="B305" t="s">
        <v>364</v>
      </c>
      <c r="C305">
        <v>230483</v>
      </c>
      <c r="D305" t="s">
        <v>161</v>
      </c>
      <c r="E305" t="s">
        <v>800</v>
      </c>
      <c r="F305" s="1" t="s">
        <v>628</v>
      </c>
      <c r="I305" s="6">
        <f t="shared" si="19"/>
        <v>180</v>
      </c>
      <c r="K305" s="6">
        <f t="shared" si="16"/>
        <v>360</v>
      </c>
      <c r="M305" s="6">
        <f t="shared" si="17"/>
        <v>0</v>
      </c>
    </row>
    <row r="306" spans="1:13" x14ac:dyDescent="0.3">
      <c r="A306">
        <v>152</v>
      </c>
      <c r="B306" t="s">
        <v>368</v>
      </c>
      <c r="C306">
        <v>230409</v>
      </c>
      <c r="D306" t="s">
        <v>147</v>
      </c>
      <c r="E306" t="s">
        <v>796</v>
      </c>
      <c r="F306" s="1" t="s">
        <v>645</v>
      </c>
      <c r="I306" s="6">
        <f t="shared" si="19"/>
        <v>180</v>
      </c>
      <c r="K306" s="6">
        <f t="shared" si="16"/>
        <v>360</v>
      </c>
      <c r="M306" s="6">
        <f t="shared" si="17"/>
        <v>0</v>
      </c>
    </row>
    <row r="307" spans="1:13" x14ac:dyDescent="0.3">
      <c r="A307">
        <v>156</v>
      </c>
      <c r="B307" t="s">
        <v>368</v>
      </c>
      <c r="C307">
        <v>230342</v>
      </c>
      <c r="D307" t="s">
        <v>155</v>
      </c>
      <c r="E307" t="s">
        <v>799</v>
      </c>
      <c r="F307" s="1" t="s">
        <v>617</v>
      </c>
      <c r="G307" s="6">
        <v>45834</v>
      </c>
      <c r="H307" s="22" t="s">
        <v>408</v>
      </c>
      <c r="I307" s="6">
        <f t="shared" si="19"/>
        <v>46014</v>
      </c>
      <c r="J307" s="26" t="s">
        <v>659</v>
      </c>
      <c r="K307" s="6">
        <f t="shared" si="16"/>
        <v>46194</v>
      </c>
      <c r="M307" s="6">
        <f t="shared" si="17"/>
        <v>46194</v>
      </c>
    </row>
    <row r="308" spans="1:13" x14ac:dyDescent="0.3">
      <c r="A308">
        <v>163</v>
      </c>
      <c r="B308" t="s">
        <v>368</v>
      </c>
      <c r="C308">
        <v>230340</v>
      </c>
      <c r="D308" t="s">
        <v>156</v>
      </c>
      <c r="E308" t="s">
        <v>804</v>
      </c>
      <c r="F308" s="1" t="s">
        <v>623</v>
      </c>
      <c r="I308" s="6">
        <f t="shared" si="19"/>
        <v>180</v>
      </c>
      <c r="K308" s="6">
        <f t="shared" si="16"/>
        <v>360</v>
      </c>
      <c r="M308" s="6">
        <f t="shared" si="17"/>
        <v>0</v>
      </c>
    </row>
    <row r="309" spans="1:13" x14ac:dyDescent="0.3">
      <c r="A309">
        <v>164</v>
      </c>
      <c r="B309" t="s">
        <v>368</v>
      </c>
      <c r="C309">
        <v>230339</v>
      </c>
      <c r="D309" t="s">
        <v>157</v>
      </c>
      <c r="E309" t="s">
        <v>804</v>
      </c>
      <c r="F309" s="1" t="s">
        <v>623</v>
      </c>
      <c r="I309" s="6">
        <f t="shared" si="19"/>
        <v>180</v>
      </c>
      <c r="K309" s="6">
        <f t="shared" si="16"/>
        <v>360</v>
      </c>
      <c r="M309" s="6">
        <f t="shared" si="17"/>
        <v>0</v>
      </c>
    </row>
    <row r="310" spans="1:13" x14ac:dyDescent="0.3">
      <c r="A310">
        <v>216</v>
      </c>
      <c r="B310" t="s">
        <v>368</v>
      </c>
      <c r="C310">
        <v>230304</v>
      </c>
      <c r="D310" t="s">
        <v>431</v>
      </c>
      <c r="E310" t="s">
        <v>853</v>
      </c>
      <c r="F310" s="1" t="s">
        <v>623</v>
      </c>
      <c r="I310" s="6">
        <f t="shared" si="19"/>
        <v>180</v>
      </c>
      <c r="K310" s="6">
        <f t="shared" si="16"/>
        <v>360</v>
      </c>
      <c r="M310" s="6">
        <f t="shared" si="17"/>
        <v>0</v>
      </c>
    </row>
    <row r="311" spans="1:13" x14ac:dyDescent="0.3">
      <c r="A311">
        <v>154</v>
      </c>
      <c r="B311" t="s">
        <v>368</v>
      </c>
      <c r="C311">
        <v>230303</v>
      </c>
      <c r="D311" t="s">
        <v>151</v>
      </c>
      <c r="E311" t="s">
        <v>798</v>
      </c>
      <c r="F311" s="1" t="s">
        <v>610</v>
      </c>
      <c r="H311" s="26"/>
      <c r="I311" s="6">
        <f t="shared" si="19"/>
        <v>180</v>
      </c>
      <c r="K311" s="6">
        <f t="shared" si="16"/>
        <v>360</v>
      </c>
      <c r="M311" s="6">
        <f t="shared" si="17"/>
        <v>0</v>
      </c>
    </row>
    <row r="312" spans="1:13" x14ac:dyDescent="0.3">
      <c r="A312">
        <v>134</v>
      </c>
      <c r="B312" t="s">
        <v>368</v>
      </c>
      <c r="C312">
        <v>230230</v>
      </c>
      <c r="D312" t="s">
        <v>150</v>
      </c>
      <c r="E312" t="s">
        <v>781</v>
      </c>
      <c r="F312" s="1" t="s">
        <v>635</v>
      </c>
      <c r="G312" s="6">
        <v>45929</v>
      </c>
      <c r="H312" s="22" t="s">
        <v>408</v>
      </c>
      <c r="I312" s="6">
        <f t="shared" si="19"/>
        <v>46109</v>
      </c>
      <c r="J312" s="26"/>
      <c r="K312" s="6">
        <f t="shared" si="16"/>
        <v>46289</v>
      </c>
      <c r="M312" s="6">
        <f t="shared" si="17"/>
        <v>46109</v>
      </c>
    </row>
    <row r="313" spans="1:13" x14ac:dyDescent="0.3">
      <c r="A313">
        <v>183</v>
      </c>
      <c r="B313" t="s">
        <v>363</v>
      </c>
      <c r="C313">
        <v>230210</v>
      </c>
      <c r="D313" t="s">
        <v>149</v>
      </c>
      <c r="E313" t="s">
        <v>821</v>
      </c>
      <c r="F313" s="1" t="s">
        <v>617</v>
      </c>
      <c r="H313" s="26"/>
      <c r="I313" s="6">
        <f t="shared" si="19"/>
        <v>180</v>
      </c>
      <c r="K313" s="6">
        <f t="shared" si="16"/>
        <v>360</v>
      </c>
      <c r="M313" s="6">
        <f t="shared" si="17"/>
        <v>0</v>
      </c>
    </row>
    <row r="314" spans="1:13" x14ac:dyDescent="0.3">
      <c r="A314">
        <v>181</v>
      </c>
      <c r="B314" t="s">
        <v>364</v>
      </c>
      <c r="C314">
        <v>230164</v>
      </c>
      <c r="D314" t="s">
        <v>144</v>
      </c>
      <c r="E314" t="s">
        <v>819</v>
      </c>
      <c r="F314" s="1" t="s">
        <v>617</v>
      </c>
      <c r="H314" s="26"/>
      <c r="I314" s="6">
        <f t="shared" si="19"/>
        <v>180</v>
      </c>
      <c r="K314" s="6">
        <f t="shared" si="16"/>
        <v>360</v>
      </c>
      <c r="M314" s="6">
        <f t="shared" si="17"/>
        <v>0</v>
      </c>
    </row>
    <row r="315" spans="1:13" x14ac:dyDescent="0.3">
      <c r="A315">
        <v>141</v>
      </c>
      <c r="B315" t="s">
        <v>368</v>
      </c>
      <c r="C315">
        <v>230125</v>
      </c>
      <c r="D315" t="s">
        <v>143</v>
      </c>
      <c r="E315" t="s">
        <v>788</v>
      </c>
      <c r="F315" s="1" t="s">
        <v>642</v>
      </c>
      <c r="I315" s="6">
        <f t="shared" si="19"/>
        <v>180</v>
      </c>
      <c r="K315" s="6">
        <f t="shared" si="16"/>
        <v>360</v>
      </c>
      <c r="M315" s="6">
        <f t="shared" si="17"/>
        <v>0</v>
      </c>
    </row>
    <row r="316" spans="1:13" x14ac:dyDescent="0.3">
      <c r="A316">
        <v>123</v>
      </c>
      <c r="B316" t="s">
        <v>387</v>
      </c>
      <c r="C316">
        <v>230100</v>
      </c>
      <c r="D316" t="s">
        <v>148</v>
      </c>
      <c r="E316" t="s">
        <v>770</v>
      </c>
      <c r="F316" s="1" t="s">
        <v>608</v>
      </c>
      <c r="G316" s="6">
        <v>45693</v>
      </c>
      <c r="H316" s="22" t="s">
        <v>408</v>
      </c>
      <c r="I316" s="6">
        <v>45887</v>
      </c>
      <c r="J316" s="22" t="s">
        <v>408</v>
      </c>
      <c r="K316" s="6">
        <f t="shared" si="16"/>
        <v>46067</v>
      </c>
      <c r="M316" s="6">
        <f t="shared" si="17"/>
        <v>46067</v>
      </c>
    </row>
    <row r="317" spans="1:13" x14ac:dyDescent="0.3">
      <c r="A317">
        <v>159</v>
      </c>
      <c r="B317" t="s">
        <v>368</v>
      </c>
      <c r="C317">
        <v>230052</v>
      </c>
      <c r="D317" t="s">
        <v>79</v>
      </c>
      <c r="E317" t="s">
        <v>801</v>
      </c>
      <c r="F317" s="1" t="s">
        <v>608</v>
      </c>
      <c r="G317" s="6">
        <v>45738</v>
      </c>
      <c r="H317" s="22" t="s">
        <v>408</v>
      </c>
      <c r="I317" s="6">
        <v>45868</v>
      </c>
      <c r="J317" s="22" t="s">
        <v>408</v>
      </c>
      <c r="K317" s="6">
        <f t="shared" si="16"/>
        <v>46048</v>
      </c>
      <c r="M317" s="6">
        <f t="shared" si="17"/>
        <v>46048</v>
      </c>
    </row>
    <row r="318" spans="1:13" x14ac:dyDescent="0.3">
      <c r="A318">
        <v>26</v>
      </c>
      <c r="B318" t="s">
        <v>361</v>
      </c>
      <c r="C318" s="31">
        <v>192</v>
      </c>
      <c r="D318" t="s">
        <v>660</v>
      </c>
      <c r="E318" t="s">
        <v>1139</v>
      </c>
      <c r="F318" s="1" t="s">
        <v>614</v>
      </c>
      <c r="G318" s="6">
        <v>45803</v>
      </c>
      <c r="H318" s="22" t="s">
        <v>408</v>
      </c>
      <c r="I318" s="6">
        <f>G318+$O$1</f>
        <v>45983</v>
      </c>
      <c r="J318" s="26" t="s">
        <v>659</v>
      </c>
      <c r="K318" s="6">
        <f t="shared" si="16"/>
        <v>46163</v>
      </c>
      <c r="M318" s="6">
        <f t="shared" si="17"/>
        <v>46163</v>
      </c>
    </row>
    <row r="319" spans="1:13" x14ac:dyDescent="0.3">
      <c r="A319">
        <v>33</v>
      </c>
      <c r="B319" t="s">
        <v>361</v>
      </c>
      <c r="C319">
        <v>191</v>
      </c>
      <c r="D319" t="s">
        <v>80</v>
      </c>
      <c r="E319" t="s">
        <v>689</v>
      </c>
      <c r="F319" s="1" t="s">
        <v>622</v>
      </c>
      <c r="G319" s="6">
        <v>45765</v>
      </c>
      <c r="H319" s="22" t="s">
        <v>408</v>
      </c>
      <c r="I319" s="6">
        <f>G319+$O$1</f>
        <v>45945</v>
      </c>
      <c r="J319" s="26"/>
      <c r="K319" s="6">
        <f t="shared" si="16"/>
        <v>46125</v>
      </c>
      <c r="M319" s="6">
        <f t="shared" si="17"/>
        <v>45945</v>
      </c>
    </row>
    <row r="320" spans="1:13" x14ac:dyDescent="0.3">
      <c r="A320">
        <v>59</v>
      </c>
      <c r="B320" t="s">
        <v>361</v>
      </c>
      <c r="C320">
        <v>190</v>
      </c>
      <c r="D320" t="s">
        <v>71</v>
      </c>
      <c r="E320" t="s">
        <v>714</v>
      </c>
      <c r="F320" s="1" t="s">
        <v>610</v>
      </c>
      <c r="G320" s="6">
        <v>45358</v>
      </c>
      <c r="H320" s="22" t="s">
        <v>408</v>
      </c>
      <c r="I320" s="6">
        <f>G320+$O$1</f>
        <v>45538</v>
      </c>
      <c r="K320" s="6">
        <f t="shared" si="16"/>
        <v>45718</v>
      </c>
      <c r="M320" s="6">
        <f t="shared" si="17"/>
        <v>45538</v>
      </c>
    </row>
    <row r="321" spans="1:13" x14ac:dyDescent="0.3">
      <c r="A321">
        <v>63</v>
      </c>
      <c r="B321" t="s">
        <v>366</v>
      </c>
      <c r="C321">
        <v>189</v>
      </c>
      <c r="D321" t="s">
        <v>38</v>
      </c>
      <c r="E321" t="s">
        <v>718</v>
      </c>
      <c r="F321" s="1" t="s">
        <v>630</v>
      </c>
      <c r="G321" s="6">
        <v>45812</v>
      </c>
      <c r="H321" s="22" t="s">
        <v>408</v>
      </c>
      <c r="I321" s="6">
        <f>G321+$O$1</f>
        <v>45992</v>
      </c>
      <c r="J321" s="26"/>
      <c r="K321" s="6">
        <f t="shared" si="16"/>
        <v>46172</v>
      </c>
      <c r="M321" s="6">
        <f t="shared" si="17"/>
        <v>45992</v>
      </c>
    </row>
    <row r="322" spans="1:13" x14ac:dyDescent="0.3">
      <c r="A322">
        <v>36</v>
      </c>
      <c r="B322" t="s">
        <v>361</v>
      </c>
      <c r="C322">
        <v>188</v>
      </c>
      <c r="D322" t="s">
        <v>62</v>
      </c>
      <c r="E322" t="s">
        <v>692</v>
      </c>
      <c r="F322" s="1" t="s">
        <v>624</v>
      </c>
      <c r="G322" s="6">
        <v>45651</v>
      </c>
      <c r="H322" s="22" t="s">
        <v>408</v>
      </c>
      <c r="I322" s="6">
        <v>45959</v>
      </c>
      <c r="J322" s="22" t="s">
        <v>659</v>
      </c>
      <c r="K322" s="6">
        <f t="shared" si="16"/>
        <v>46139</v>
      </c>
      <c r="M322" s="6">
        <f t="shared" si="17"/>
        <v>46139</v>
      </c>
    </row>
    <row r="323" spans="1:13" x14ac:dyDescent="0.3">
      <c r="B323" t="s">
        <v>368</v>
      </c>
      <c r="C323" t="s">
        <v>966</v>
      </c>
      <c r="D323" t="s">
        <v>967</v>
      </c>
      <c r="F323" s="1" t="s">
        <v>1032</v>
      </c>
      <c r="G323" s="1">
        <v>46057</v>
      </c>
      <c r="H323" s="22" t="s">
        <v>659</v>
      </c>
      <c r="I323" s="6">
        <f>G323+O1</f>
        <v>46237</v>
      </c>
      <c r="K323" s="6">
        <f>I323+180</f>
        <v>46417</v>
      </c>
    </row>
    <row r="324" spans="1:13" x14ac:dyDescent="0.3">
      <c r="B324" t="s">
        <v>368</v>
      </c>
      <c r="C324" t="s">
        <v>972</v>
      </c>
      <c r="D324" t="s">
        <v>481</v>
      </c>
      <c r="E324" t="s">
        <v>1687</v>
      </c>
      <c r="F324" s="1" t="s">
        <v>1032</v>
      </c>
      <c r="G324" s="1">
        <v>46120</v>
      </c>
      <c r="H324" s="22" t="s">
        <v>408</v>
      </c>
      <c r="I324" s="6">
        <f>G324+180</f>
        <v>46300</v>
      </c>
      <c r="K324" s="6">
        <f>I324+180</f>
        <v>46480</v>
      </c>
    </row>
    <row r="325" spans="1:13" x14ac:dyDescent="0.3">
      <c r="B325" t="s">
        <v>388</v>
      </c>
      <c r="C325" t="s">
        <v>571</v>
      </c>
      <c r="D325" t="s">
        <v>968</v>
      </c>
      <c r="E325" t="s">
        <v>1278</v>
      </c>
      <c r="F325" s="1" t="s">
        <v>1592</v>
      </c>
      <c r="G325" s="1">
        <v>45927</v>
      </c>
      <c r="H325" s="22" t="s">
        <v>408</v>
      </c>
      <c r="I325" s="6">
        <f t="shared" ref="I325:I388" si="20">G325+180</f>
        <v>46107</v>
      </c>
      <c r="J325" s="6" t="s">
        <v>961</v>
      </c>
      <c r="K325" s="6">
        <f t="shared" ref="K325:K388" si="21">I325+180</f>
        <v>46287</v>
      </c>
    </row>
    <row r="326" spans="1:13" x14ac:dyDescent="0.3">
      <c r="B326" t="s">
        <v>388</v>
      </c>
      <c r="C326" t="s">
        <v>973</v>
      </c>
      <c r="D326" t="s">
        <v>1688</v>
      </c>
      <c r="E326" t="s">
        <v>1448</v>
      </c>
      <c r="F326" s="1" t="s">
        <v>1593</v>
      </c>
      <c r="G326" s="1">
        <v>46051</v>
      </c>
      <c r="H326" s="22" t="s">
        <v>408</v>
      </c>
      <c r="I326" s="6">
        <f t="shared" si="20"/>
        <v>46231</v>
      </c>
      <c r="K326" s="6">
        <f t="shared" si="21"/>
        <v>46411</v>
      </c>
    </row>
    <row r="327" spans="1:13" x14ac:dyDescent="0.3">
      <c r="B327" t="s">
        <v>368</v>
      </c>
      <c r="C327" t="s">
        <v>971</v>
      </c>
      <c r="D327" t="s">
        <v>970</v>
      </c>
      <c r="E327" t="s">
        <v>1223</v>
      </c>
      <c r="F327" s="1" t="s">
        <v>627</v>
      </c>
      <c r="G327" s="1">
        <v>46073</v>
      </c>
      <c r="H327" s="22" t="s">
        <v>408</v>
      </c>
      <c r="I327" s="6">
        <f t="shared" si="20"/>
        <v>46253</v>
      </c>
      <c r="K327" s="6">
        <f t="shared" si="21"/>
        <v>46433</v>
      </c>
    </row>
    <row r="328" spans="1:13" x14ac:dyDescent="0.3">
      <c r="B328" t="s">
        <v>389</v>
      </c>
      <c r="C328" t="s">
        <v>985</v>
      </c>
      <c r="D328" t="s">
        <v>974</v>
      </c>
      <c r="E328" t="s">
        <v>1216</v>
      </c>
      <c r="F328" s="1" t="s">
        <v>1032</v>
      </c>
      <c r="G328" s="1">
        <v>46108</v>
      </c>
      <c r="H328" s="22" t="s">
        <v>408</v>
      </c>
      <c r="I328" s="6">
        <f t="shared" si="20"/>
        <v>46288</v>
      </c>
      <c r="K328" s="6">
        <f t="shared" si="21"/>
        <v>46468</v>
      </c>
    </row>
    <row r="329" spans="1:13" x14ac:dyDescent="0.3">
      <c r="B329" t="s">
        <v>341</v>
      </c>
      <c r="C329" t="s">
        <v>986</v>
      </c>
      <c r="D329" t="s">
        <v>987</v>
      </c>
      <c r="E329" t="s">
        <v>1526</v>
      </c>
      <c r="F329" s="1" t="s">
        <v>617</v>
      </c>
      <c r="G329" s="1">
        <v>46112</v>
      </c>
      <c r="H329" s="22" t="s">
        <v>408</v>
      </c>
      <c r="I329" s="6">
        <f t="shared" si="20"/>
        <v>46292</v>
      </c>
      <c r="K329" s="6">
        <f t="shared" si="21"/>
        <v>46472</v>
      </c>
    </row>
    <row r="330" spans="1:13" x14ac:dyDescent="0.3">
      <c r="B330" t="s">
        <v>388</v>
      </c>
      <c r="C330" t="s">
        <v>984</v>
      </c>
      <c r="D330" t="s">
        <v>975</v>
      </c>
      <c r="E330" t="s">
        <v>1494</v>
      </c>
      <c r="F330" s="1" t="s">
        <v>622</v>
      </c>
      <c r="G330" s="1">
        <v>46077</v>
      </c>
      <c r="H330" s="22" t="s">
        <v>408</v>
      </c>
      <c r="I330" s="6">
        <f t="shared" si="20"/>
        <v>46257</v>
      </c>
      <c r="K330" s="6">
        <f t="shared" si="21"/>
        <v>46437</v>
      </c>
    </row>
    <row r="331" spans="1:13" x14ac:dyDescent="0.3">
      <c r="B331" t="s">
        <v>982</v>
      </c>
      <c r="C331" t="s">
        <v>983</v>
      </c>
      <c r="D331" t="s">
        <v>976</v>
      </c>
      <c r="E331" t="s">
        <v>1168</v>
      </c>
      <c r="F331" s="1" t="s">
        <v>1032</v>
      </c>
      <c r="G331" s="1">
        <v>46030</v>
      </c>
      <c r="H331" s="22" t="s">
        <v>408</v>
      </c>
      <c r="I331" s="6">
        <f t="shared" si="20"/>
        <v>46210</v>
      </c>
      <c r="K331" s="6">
        <f t="shared" si="21"/>
        <v>46390</v>
      </c>
    </row>
    <row r="332" spans="1:13" x14ac:dyDescent="0.3">
      <c r="B332" t="s">
        <v>368</v>
      </c>
      <c r="C332" t="s">
        <v>981</v>
      </c>
      <c r="D332" t="s">
        <v>977</v>
      </c>
      <c r="E332" t="s">
        <v>1330</v>
      </c>
      <c r="F332" s="1" t="s">
        <v>654</v>
      </c>
      <c r="G332" s="1">
        <v>46082</v>
      </c>
      <c r="H332" s="22" t="s">
        <v>408</v>
      </c>
      <c r="I332" s="6">
        <f t="shared" si="20"/>
        <v>46262</v>
      </c>
      <c r="K332" s="6">
        <f t="shared" si="21"/>
        <v>46442</v>
      </c>
    </row>
    <row r="333" spans="1:13" x14ac:dyDescent="0.3">
      <c r="B333" t="s">
        <v>388</v>
      </c>
      <c r="C333" t="s">
        <v>956</v>
      </c>
      <c r="D333" t="s">
        <v>978</v>
      </c>
      <c r="E333" t="s">
        <v>1502</v>
      </c>
      <c r="F333" s="1" t="s">
        <v>1594</v>
      </c>
      <c r="G333" s="1">
        <v>46057</v>
      </c>
      <c r="H333" s="22" t="s">
        <v>408</v>
      </c>
      <c r="I333" s="6">
        <f t="shared" si="20"/>
        <v>46237</v>
      </c>
      <c r="K333" s="6">
        <f t="shared" si="21"/>
        <v>46417</v>
      </c>
    </row>
    <row r="334" spans="1:13" x14ac:dyDescent="0.3">
      <c r="B334" t="s">
        <v>341</v>
      </c>
      <c r="C334" t="s">
        <v>980</v>
      </c>
      <c r="D334" t="s">
        <v>979</v>
      </c>
      <c r="E334" t="s">
        <v>1519</v>
      </c>
      <c r="F334" s="1" t="s">
        <v>639</v>
      </c>
      <c r="G334" s="1">
        <v>46094</v>
      </c>
      <c r="H334" s="22" t="s">
        <v>408</v>
      </c>
      <c r="I334" s="6">
        <f t="shared" si="20"/>
        <v>46274</v>
      </c>
      <c r="K334" s="6">
        <f t="shared" si="21"/>
        <v>46454</v>
      </c>
    </row>
    <row r="335" spans="1:13" x14ac:dyDescent="0.3">
      <c r="B335" t="s">
        <v>388</v>
      </c>
      <c r="C335" t="s">
        <v>988</v>
      </c>
      <c r="D335" t="s">
        <v>990</v>
      </c>
      <c r="E335" t="s">
        <v>1188</v>
      </c>
      <c r="F335" s="1" t="s">
        <v>608</v>
      </c>
      <c r="G335" s="1">
        <v>46114</v>
      </c>
      <c r="H335" s="22" t="s">
        <v>659</v>
      </c>
      <c r="I335" s="6">
        <f t="shared" si="20"/>
        <v>46294</v>
      </c>
      <c r="K335" s="6">
        <f t="shared" si="21"/>
        <v>46474</v>
      </c>
    </row>
    <row r="336" spans="1:13" x14ac:dyDescent="0.3">
      <c r="B336" t="s">
        <v>341</v>
      </c>
      <c r="C336" t="s">
        <v>980</v>
      </c>
      <c r="D336" t="s">
        <v>989</v>
      </c>
      <c r="E336" t="s">
        <v>1549</v>
      </c>
      <c r="F336" s="1" t="s">
        <v>1595</v>
      </c>
      <c r="G336" s="1">
        <v>46109</v>
      </c>
      <c r="H336" s="22" t="s">
        <v>408</v>
      </c>
      <c r="I336" s="6">
        <f t="shared" si="20"/>
        <v>46289</v>
      </c>
      <c r="K336" s="6">
        <f t="shared" si="21"/>
        <v>46469</v>
      </c>
    </row>
    <row r="337" spans="2:11" x14ac:dyDescent="0.3">
      <c r="B337" t="s">
        <v>389</v>
      </c>
      <c r="C337" t="s">
        <v>995</v>
      </c>
      <c r="D337" t="s">
        <v>991</v>
      </c>
      <c r="E337" t="s">
        <v>1496</v>
      </c>
      <c r="F337" s="1" t="s">
        <v>636</v>
      </c>
      <c r="G337" s="1">
        <v>46121</v>
      </c>
      <c r="H337" s="22" t="s">
        <v>408</v>
      </c>
      <c r="I337" s="6">
        <f t="shared" si="20"/>
        <v>46301</v>
      </c>
      <c r="K337" s="6">
        <f t="shared" si="21"/>
        <v>46481</v>
      </c>
    </row>
    <row r="338" spans="2:11" x14ac:dyDescent="0.3">
      <c r="B338" t="s">
        <v>364</v>
      </c>
      <c r="C338" t="s">
        <v>994</v>
      </c>
      <c r="D338" t="s">
        <v>992</v>
      </c>
      <c r="E338" t="s">
        <v>1272</v>
      </c>
      <c r="F338" s="1" t="s">
        <v>1595</v>
      </c>
      <c r="G338" s="1">
        <f>EDATE('Data Garansi'!D338,6)</f>
        <v>46104</v>
      </c>
      <c r="H338" s="26"/>
      <c r="I338" s="6">
        <f t="shared" si="20"/>
        <v>46284</v>
      </c>
      <c r="K338" s="6">
        <f t="shared" si="21"/>
        <v>46464</v>
      </c>
    </row>
    <row r="339" spans="2:11" x14ac:dyDescent="0.3">
      <c r="B339" t="s">
        <v>207</v>
      </c>
      <c r="C339" t="s">
        <v>996</v>
      </c>
      <c r="D339" t="s">
        <v>993</v>
      </c>
      <c r="E339" t="s">
        <v>1535</v>
      </c>
      <c r="F339" s="1" t="s">
        <v>615</v>
      </c>
      <c r="G339" s="1">
        <v>46095</v>
      </c>
      <c r="H339" s="22" t="s">
        <v>408</v>
      </c>
      <c r="I339" s="6">
        <f t="shared" si="20"/>
        <v>46275</v>
      </c>
      <c r="K339" s="6">
        <f t="shared" si="21"/>
        <v>46455</v>
      </c>
    </row>
    <row r="340" spans="2:11" x14ac:dyDescent="0.3">
      <c r="B340" t="s">
        <v>368</v>
      </c>
      <c r="C340" t="s">
        <v>1003</v>
      </c>
      <c r="D340" t="s">
        <v>997</v>
      </c>
      <c r="E340" t="s">
        <v>1689</v>
      </c>
      <c r="F340" s="1" t="s">
        <v>1032</v>
      </c>
      <c r="G340" s="1">
        <v>46098</v>
      </c>
      <c r="H340" s="22" t="s">
        <v>408</v>
      </c>
      <c r="I340" s="6">
        <f t="shared" si="20"/>
        <v>46278</v>
      </c>
      <c r="K340" s="6">
        <f t="shared" si="21"/>
        <v>46458</v>
      </c>
    </row>
    <row r="341" spans="2:11" x14ac:dyDescent="0.3">
      <c r="B341" t="s">
        <v>364</v>
      </c>
      <c r="C341" t="s">
        <v>1004</v>
      </c>
      <c r="D341" t="s">
        <v>998</v>
      </c>
      <c r="E341" t="s">
        <v>1426</v>
      </c>
      <c r="F341" s="1" t="s">
        <v>1595</v>
      </c>
      <c r="G341" s="1">
        <f>EDATE('Data Garansi'!D341,6)</f>
        <v>46129</v>
      </c>
      <c r="H341" s="22" t="s">
        <v>408</v>
      </c>
      <c r="I341" s="6">
        <f t="shared" si="20"/>
        <v>46309</v>
      </c>
      <c r="K341" s="6">
        <f t="shared" si="21"/>
        <v>46489</v>
      </c>
    </row>
    <row r="342" spans="2:11" x14ac:dyDescent="0.3">
      <c r="B342" t="s">
        <v>389</v>
      </c>
      <c r="C342" t="s">
        <v>1005</v>
      </c>
      <c r="D342" t="s">
        <v>999</v>
      </c>
      <c r="E342" t="s">
        <v>1554</v>
      </c>
      <c r="F342" s="1" t="s">
        <v>627</v>
      </c>
      <c r="G342" s="1">
        <v>46123</v>
      </c>
      <c r="H342" s="22" t="s">
        <v>408</v>
      </c>
      <c r="I342" s="6">
        <f t="shared" si="20"/>
        <v>46303</v>
      </c>
      <c r="K342" s="6">
        <f t="shared" si="21"/>
        <v>46483</v>
      </c>
    </row>
    <row r="343" spans="2:11" x14ac:dyDescent="0.3">
      <c r="B343" t="s">
        <v>389</v>
      </c>
      <c r="C343" t="s">
        <v>1006</v>
      </c>
      <c r="D343" t="s">
        <v>1007</v>
      </c>
      <c r="E343" t="s">
        <v>1546</v>
      </c>
      <c r="F343" s="1" t="s">
        <v>608</v>
      </c>
      <c r="G343" s="1">
        <v>46083</v>
      </c>
      <c r="H343" s="22" t="s">
        <v>408</v>
      </c>
      <c r="I343" s="6">
        <f t="shared" si="20"/>
        <v>46263</v>
      </c>
      <c r="K343" s="6">
        <f t="shared" si="21"/>
        <v>46443</v>
      </c>
    </row>
    <row r="344" spans="2:11" x14ac:dyDescent="0.3">
      <c r="B344" t="s">
        <v>1009</v>
      </c>
      <c r="C344" t="s">
        <v>1008</v>
      </c>
      <c r="D344" t="s">
        <v>1002</v>
      </c>
      <c r="E344" t="s">
        <v>1357</v>
      </c>
      <c r="F344" s="1" t="s">
        <v>622</v>
      </c>
      <c r="G344" s="1">
        <v>46125</v>
      </c>
      <c r="H344" s="22" t="s">
        <v>408</v>
      </c>
      <c r="I344" s="6">
        <f t="shared" si="20"/>
        <v>46305</v>
      </c>
      <c r="K344" s="6">
        <f t="shared" si="21"/>
        <v>46485</v>
      </c>
    </row>
    <row r="345" spans="2:11" x14ac:dyDescent="0.3">
      <c r="B345" t="s">
        <v>368</v>
      </c>
      <c r="C345" t="s">
        <v>1011</v>
      </c>
      <c r="D345" t="s">
        <v>1000</v>
      </c>
      <c r="F345" s="1" t="s">
        <v>632</v>
      </c>
      <c r="G345" s="1">
        <v>46085</v>
      </c>
      <c r="H345" s="22" t="s">
        <v>408</v>
      </c>
      <c r="I345" s="6">
        <f t="shared" si="20"/>
        <v>46265</v>
      </c>
      <c r="K345" s="6">
        <f t="shared" si="21"/>
        <v>46445</v>
      </c>
    </row>
    <row r="346" spans="2:11" x14ac:dyDescent="0.3">
      <c r="B346" t="s">
        <v>368</v>
      </c>
      <c r="C346" t="s">
        <v>1010</v>
      </c>
      <c r="D346" t="s">
        <v>1001</v>
      </c>
      <c r="F346" s="1" t="s">
        <v>632</v>
      </c>
      <c r="G346" s="1">
        <f>EDATE('Data Garansi'!D346,6)</f>
        <v>46140</v>
      </c>
      <c r="H346" s="22" t="s">
        <v>408</v>
      </c>
      <c r="I346" s="6">
        <f t="shared" si="20"/>
        <v>46320</v>
      </c>
      <c r="K346" s="6">
        <f t="shared" si="21"/>
        <v>46500</v>
      </c>
    </row>
    <row r="347" spans="2:11" x14ac:dyDescent="0.3">
      <c r="B347" t="s">
        <v>389</v>
      </c>
      <c r="C347" t="s">
        <v>1018</v>
      </c>
      <c r="D347" t="s">
        <v>1012</v>
      </c>
      <c r="F347" s="1" t="s">
        <v>615</v>
      </c>
      <c r="G347" s="1">
        <f>EDATE('Data Garansi'!D347,6)</f>
        <v>46160</v>
      </c>
      <c r="I347" s="6">
        <f t="shared" si="20"/>
        <v>46340</v>
      </c>
      <c r="K347" s="6">
        <f t="shared" si="21"/>
        <v>46520</v>
      </c>
    </row>
    <row r="348" spans="2:11" x14ac:dyDescent="0.3">
      <c r="B348" t="s">
        <v>368</v>
      </c>
      <c r="C348" t="s">
        <v>1019</v>
      </c>
      <c r="D348" t="s">
        <v>1013</v>
      </c>
      <c r="F348" s="1" t="s">
        <v>608</v>
      </c>
      <c r="G348" s="1">
        <f>EDATE('Data Garansi'!D348,6)</f>
        <v>46160</v>
      </c>
      <c r="I348" s="6">
        <f t="shared" si="20"/>
        <v>46340</v>
      </c>
      <c r="K348" s="6">
        <f t="shared" si="21"/>
        <v>46520</v>
      </c>
    </row>
    <row r="349" spans="2:11" x14ac:dyDescent="0.3">
      <c r="B349" t="s">
        <v>388</v>
      </c>
      <c r="C349" t="s">
        <v>1020</v>
      </c>
      <c r="D349" t="s">
        <v>1014</v>
      </c>
      <c r="F349" s="1" t="s">
        <v>1595</v>
      </c>
      <c r="G349" s="1">
        <f>EDATE('Data Garansi'!D349,6)</f>
        <v>46163</v>
      </c>
      <c r="I349" s="6">
        <f t="shared" si="20"/>
        <v>46343</v>
      </c>
      <c r="K349" s="6">
        <f t="shared" si="21"/>
        <v>46523</v>
      </c>
    </row>
    <row r="350" spans="2:11" x14ac:dyDescent="0.3">
      <c r="B350" t="s">
        <v>388</v>
      </c>
      <c r="C350" t="s">
        <v>1021</v>
      </c>
      <c r="D350" t="s">
        <v>1015</v>
      </c>
      <c r="F350" s="1" t="s">
        <v>1595</v>
      </c>
      <c r="G350" s="1">
        <f>EDATE('Data Garansi'!D350,6)</f>
        <v>46166</v>
      </c>
      <c r="I350" s="6">
        <f t="shared" si="20"/>
        <v>46346</v>
      </c>
      <c r="K350" s="6">
        <f t="shared" si="21"/>
        <v>46526</v>
      </c>
    </row>
    <row r="351" spans="2:11" x14ac:dyDescent="0.3">
      <c r="B351" t="s">
        <v>388</v>
      </c>
      <c r="C351" t="s">
        <v>1022</v>
      </c>
      <c r="D351" t="s">
        <v>1023</v>
      </c>
      <c r="F351" s="1" t="s">
        <v>617</v>
      </c>
      <c r="G351" s="1">
        <f>EDATE('Data Garansi'!D351,6)</f>
        <v>46166</v>
      </c>
      <c r="I351" s="6">
        <f t="shared" si="20"/>
        <v>46346</v>
      </c>
      <c r="K351" s="6">
        <f t="shared" si="21"/>
        <v>46526</v>
      </c>
    </row>
    <row r="352" spans="2:11" x14ac:dyDescent="0.3">
      <c r="B352" t="s">
        <v>341</v>
      </c>
      <c r="C352" t="s">
        <v>1024</v>
      </c>
      <c r="D352" t="s">
        <v>1016</v>
      </c>
      <c r="F352" s="1" t="s">
        <v>627</v>
      </c>
      <c r="G352" s="1">
        <f>EDATE('Data Garansi'!D352,6)</f>
        <v>46166</v>
      </c>
      <c r="I352" s="6">
        <f t="shared" si="20"/>
        <v>46346</v>
      </c>
      <c r="K352" s="6">
        <f t="shared" si="21"/>
        <v>46526</v>
      </c>
    </row>
    <row r="353" spans="2:11" x14ac:dyDescent="0.3">
      <c r="B353" t="s">
        <v>368</v>
      </c>
      <c r="C353" t="s">
        <v>1025</v>
      </c>
      <c r="D353" t="s">
        <v>1017</v>
      </c>
      <c r="F353" s="1" t="s">
        <v>618</v>
      </c>
      <c r="G353" s="1">
        <f>EDATE('Data Garansi'!D353,6)</f>
        <v>46167</v>
      </c>
      <c r="I353" s="6">
        <f t="shared" si="20"/>
        <v>46347</v>
      </c>
      <c r="K353" s="6">
        <f t="shared" si="21"/>
        <v>46527</v>
      </c>
    </row>
    <row r="354" spans="2:11" x14ac:dyDescent="0.3">
      <c r="B354" t="s">
        <v>387</v>
      </c>
      <c r="C354" t="s">
        <v>1027</v>
      </c>
      <c r="D354" t="s">
        <v>1026</v>
      </c>
      <c r="F354" s="1" t="s">
        <v>1596</v>
      </c>
      <c r="G354" s="1">
        <f>EDATE('Data Garansi'!D354,6)</f>
        <v>46175</v>
      </c>
      <c r="I354" s="6">
        <f t="shared" si="20"/>
        <v>46355</v>
      </c>
      <c r="K354" s="6">
        <f t="shared" si="21"/>
        <v>46535</v>
      </c>
    </row>
    <row r="355" spans="2:11" x14ac:dyDescent="0.3">
      <c r="B355" t="s">
        <v>388</v>
      </c>
      <c r="C355" t="s">
        <v>1028</v>
      </c>
      <c r="D355" t="s">
        <v>1030</v>
      </c>
      <c r="F355" s="1" t="s">
        <v>1032</v>
      </c>
      <c r="G355" s="1">
        <f>EDATE('Data Garansi'!D355,6)</f>
        <v>46175</v>
      </c>
      <c r="I355" s="6">
        <f t="shared" si="20"/>
        <v>46355</v>
      </c>
      <c r="K355" s="6">
        <f t="shared" si="21"/>
        <v>46535</v>
      </c>
    </row>
    <row r="356" spans="2:11" x14ac:dyDescent="0.3">
      <c r="B356" t="s">
        <v>341</v>
      </c>
      <c r="C356" t="s">
        <v>1024</v>
      </c>
      <c r="D356" t="s">
        <v>1029</v>
      </c>
      <c r="F356" s="1" t="s">
        <v>612</v>
      </c>
      <c r="G356" s="1">
        <f>EDATE('Data Garansi'!D356,6)</f>
        <v>46181</v>
      </c>
      <c r="I356" s="6">
        <f t="shared" si="20"/>
        <v>46361</v>
      </c>
      <c r="K356" s="6">
        <f t="shared" si="21"/>
        <v>46541</v>
      </c>
    </row>
    <row r="357" spans="2:11" x14ac:dyDescent="0.3">
      <c r="B357" t="s">
        <v>389</v>
      </c>
      <c r="C357" t="s">
        <v>1018</v>
      </c>
      <c r="D357" t="s">
        <v>1012</v>
      </c>
      <c r="E357" t="s">
        <v>1243</v>
      </c>
      <c r="F357" s="1" t="s">
        <v>610</v>
      </c>
      <c r="G357" s="1">
        <v>46125</v>
      </c>
      <c r="H357" s="22" t="s">
        <v>408</v>
      </c>
      <c r="I357" s="6">
        <f t="shared" si="20"/>
        <v>46305</v>
      </c>
      <c r="K357" s="6">
        <f t="shared" si="21"/>
        <v>46485</v>
      </c>
    </row>
    <row r="358" spans="2:11" x14ac:dyDescent="0.3">
      <c r="B358" t="s">
        <v>368</v>
      </c>
      <c r="C358" t="s">
        <v>1019</v>
      </c>
      <c r="D358" t="s">
        <v>1013</v>
      </c>
      <c r="F358" s="1" t="s">
        <v>608</v>
      </c>
      <c r="G358" s="1">
        <v>46084</v>
      </c>
      <c r="H358" s="22" t="s">
        <v>659</v>
      </c>
      <c r="I358" s="6">
        <f t="shared" si="20"/>
        <v>46264</v>
      </c>
      <c r="K358" s="6">
        <f t="shared" si="21"/>
        <v>46444</v>
      </c>
    </row>
    <row r="359" spans="2:11" x14ac:dyDescent="0.3">
      <c r="B359" t="s">
        <v>388</v>
      </c>
      <c r="C359" t="s">
        <v>1020</v>
      </c>
      <c r="D359" t="s">
        <v>1014</v>
      </c>
      <c r="F359" s="1" t="s">
        <v>1595</v>
      </c>
      <c r="G359" s="1">
        <f>EDATE('Data Garansi'!D349,6)</f>
        <v>46163</v>
      </c>
      <c r="I359" s="6">
        <f t="shared" si="20"/>
        <v>46343</v>
      </c>
      <c r="K359" s="6">
        <f t="shared" si="21"/>
        <v>46523</v>
      </c>
    </row>
    <row r="360" spans="2:11" x14ac:dyDescent="0.3">
      <c r="B360" t="s">
        <v>388</v>
      </c>
      <c r="C360" t="s">
        <v>1021</v>
      </c>
      <c r="D360" t="s">
        <v>1015</v>
      </c>
      <c r="F360" t="s">
        <v>1595</v>
      </c>
      <c r="G360" s="1">
        <f>EDATE('Data Garansi'!D350,6)</f>
        <v>46166</v>
      </c>
      <c r="I360" s="6">
        <f t="shared" si="20"/>
        <v>46346</v>
      </c>
      <c r="K360" s="6">
        <f t="shared" si="21"/>
        <v>46526</v>
      </c>
    </row>
    <row r="361" spans="2:11" x14ac:dyDescent="0.3">
      <c r="B361" t="s">
        <v>388</v>
      </c>
      <c r="C361" t="s">
        <v>1022</v>
      </c>
      <c r="D361" t="s">
        <v>1383</v>
      </c>
      <c r="E361" t="s">
        <v>1384</v>
      </c>
      <c r="F361" s="1" t="s">
        <v>617</v>
      </c>
      <c r="G361" s="1">
        <f>EDATE('Data Garansi'!D351,6)</f>
        <v>46166</v>
      </c>
      <c r="I361" s="6">
        <f t="shared" si="20"/>
        <v>46346</v>
      </c>
      <c r="K361" s="6">
        <f t="shared" si="21"/>
        <v>46526</v>
      </c>
    </row>
    <row r="362" spans="2:11" x14ac:dyDescent="0.3">
      <c r="B362" t="s">
        <v>341</v>
      </c>
      <c r="C362" t="s">
        <v>1024</v>
      </c>
      <c r="D362" t="s">
        <v>1016</v>
      </c>
      <c r="E362" t="s">
        <v>1624</v>
      </c>
      <c r="F362" s="1" t="s">
        <v>627</v>
      </c>
      <c r="G362" s="1">
        <f>EDATE('Data Garansi'!D352,6)</f>
        <v>46166</v>
      </c>
      <c r="I362" s="6">
        <f t="shared" si="20"/>
        <v>46346</v>
      </c>
      <c r="K362" s="6">
        <f t="shared" si="21"/>
        <v>46526</v>
      </c>
    </row>
    <row r="363" spans="2:11" x14ac:dyDescent="0.3">
      <c r="B363" t="s">
        <v>368</v>
      </c>
      <c r="C363" t="s">
        <v>1025</v>
      </c>
      <c r="D363" t="s">
        <v>1017</v>
      </c>
      <c r="F363" t="s">
        <v>618</v>
      </c>
      <c r="G363" s="1">
        <f>EDATE('Data Garansi'!D353,6)</f>
        <v>46167</v>
      </c>
      <c r="I363" s="6">
        <f t="shared" si="20"/>
        <v>46347</v>
      </c>
      <c r="K363" s="6">
        <f t="shared" si="21"/>
        <v>46527</v>
      </c>
    </row>
    <row r="364" spans="2:11" x14ac:dyDescent="0.3">
      <c r="B364" t="s">
        <v>387</v>
      </c>
      <c r="C364" t="s">
        <v>1027</v>
      </c>
      <c r="D364" t="s">
        <v>1026</v>
      </c>
      <c r="F364" t="s">
        <v>1596</v>
      </c>
      <c r="G364" s="1">
        <f>EDATE('Data Garansi'!D354,6)</f>
        <v>46175</v>
      </c>
      <c r="I364" s="6">
        <f t="shared" si="20"/>
        <v>46355</v>
      </c>
      <c r="K364" s="6">
        <f t="shared" si="21"/>
        <v>46535</v>
      </c>
    </row>
    <row r="365" spans="2:11" x14ac:dyDescent="0.3">
      <c r="B365" t="s">
        <v>388</v>
      </c>
      <c r="C365" t="s">
        <v>1028</v>
      </c>
      <c r="D365" t="s">
        <v>1030</v>
      </c>
      <c r="E365" t="s">
        <v>1367</v>
      </c>
      <c r="F365" t="s">
        <v>1032</v>
      </c>
      <c r="G365" s="1">
        <f>EDATE('Data Garansi'!D355,6)</f>
        <v>46175</v>
      </c>
      <c r="I365" s="6">
        <f t="shared" si="20"/>
        <v>46355</v>
      </c>
      <c r="K365" s="6">
        <f t="shared" si="21"/>
        <v>46535</v>
      </c>
    </row>
    <row r="366" spans="2:11" x14ac:dyDescent="0.3">
      <c r="B366" t="s">
        <v>341</v>
      </c>
      <c r="C366" t="s">
        <v>1024</v>
      </c>
      <c r="D366" t="s">
        <v>1029</v>
      </c>
      <c r="E366" t="s">
        <v>1625</v>
      </c>
      <c r="F366" t="s">
        <v>1626</v>
      </c>
      <c r="G366" s="1">
        <f>EDATE('Data Garansi'!D356,6)</f>
        <v>46181</v>
      </c>
      <c r="I366" s="6">
        <f t="shared" si="20"/>
        <v>46361</v>
      </c>
      <c r="K366" s="6">
        <f t="shared" si="21"/>
        <v>46541</v>
      </c>
    </row>
    <row r="367" spans="2:11" x14ac:dyDescent="0.3">
      <c r="B367" t="s">
        <v>341</v>
      </c>
      <c r="C367" t="s">
        <v>1612</v>
      </c>
      <c r="D367" t="s">
        <v>1611</v>
      </c>
      <c r="E367" t="s">
        <v>1623</v>
      </c>
      <c r="F367" t="s">
        <v>608</v>
      </c>
      <c r="G367" s="1">
        <f>EDATE('Data Garansi'!D357,6)</f>
        <v>46189</v>
      </c>
      <c r="I367" s="6">
        <f t="shared" si="20"/>
        <v>46369</v>
      </c>
      <c r="K367" s="6">
        <f t="shared" si="21"/>
        <v>46549</v>
      </c>
    </row>
    <row r="368" spans="2:11" x14ac:dyDescent="0.3">
      <c r="B368" t="s">
        <v>341</v>
      </c>
      <c r="C368" t="s">
        <v>1612</v>
      </c>
      <c r="D368" t="s">
        <v>1613</v>
      </c>
      <c r="E368" t="s">
        <v>1622</v>
      </c>
      <c r="F368" t="s">
        <v>627</v>
      </c>
      <c r="G368" s="1">
        <f>EDATE('Data Garansi'!D358,6)</f>
        <v>46188</v>
      </c>
      <c r="I368" s="6">
        <f t="shared" si="20"/>
        <v>46368</v>
      </c>
      <c r="K368" s="6">
        <f t="shared" si="21"/>
        <v>46548</v>
      </c>
    </row>
    <row r="369" spans="2:11" x14ac:dyDescent="0.3">
      <c r="B369" t="s">
        <v>341</v>
      </c>
      <c r="C369" t="s">
        <v>1612</v>
      </c>
      <c r="D369" t="s">
        <v>1605</v>
      </c>
      <c r="E369" t="s">
        <v>1621</v>
      </c>
      <c r="F369" t="s">
        <v>608</v>
      </c>
      <c r="G369" s="1">
        <f>EDATE('Data Garansi'!D359,6)</f>
        <v>46189</v>
      </c>
      <c r="I369" s="6">
        <f t="shared" si="20"/>
        <v>46369</v>
      </c>
      <c r="K369" s="6">
        <f t="shared" si="21"/>
        <v>46549</v>
      </c>
    </row>
    <row r="370" spans="2:11" x14ac:dyDescent="0.3">
      <c r="B370" t="s">
        <v>389</v>
      </c>
      <c r="C370" t="s">
        <v>1464</v>
      </c>
      <c r="D370" t="s">
        <v>1606</v>
      </c>
      <c r="E370" t="s">
        <v>1620</v>
      </c>
      <c r="F370" t="s">
        <v>608</v>
      </c>
      <c r="G370" s="1">
        <f>EDATE('Data Garansi'!D360,6)</f>
        <v>46190</v>
      </c>
      <c r="I370" s="6">
        <f t="shared" si="20"/>
        <v>46370</v>
      </c>
      <c r="K370" s="6">
        <f t="shared" si="21"/>
        <v>46550</v>
      </c>
    </row>
    <row r="371" spans="2:11" x14ac:dyDescent="0.3">
      <c r="B371" t="s">
        <v>368</v>
      </c>
      <c r="C371" t="s">
        <v>1614</v>
      </c>
      <c r="D371" t="s">
        <v>1607</v>
      </c>
      <c r="E371" t="s">
        <v>1619</v>
      </c>
      <c r="F371" s="1" t="s">
        <v>1595</v>
      </c>
      <c r="G371" s="1">
        <f>EDATE('Data Garansi'!D361,6)</f>
        <v>46192</v>
      </c>
      <c r="I371" s="6">
        <f t="shared" si="20"/>
        <v>46372</v>
      </c>
      <c r="K371" s="6">
        <f t="shared" si="21"/>
        <v>46552</v>
      </c>
    </row>
    <row r="372" spans="2:11" x14ac:dyDescent="0.3">
      <c r="B372" t="s">
        <v>341</v>
      </c>
      <c r="C372" t="s">
        <v>1024</v>
      </c>
      <c r="D372" t="s">
        <v>1608</v>
      </c>
      <c r="E372" t="s">
        <v>1618</v>
      </c>
      <c r="F372" t="s">
        <v>610</v>
      </c>
      <c r="G372" s="1">
        <f>EDATE('Data Garansi'!D362,6)</f>
        <v>46193</v>
      </c>
      <c r="I372" s="6">
        <f t="shared" si="20"/>
        <v>46373</v>
      </c>
      <c r="K372" s="6">
        <f t="shared" si="21"/>
        <v>46553</v>
      </c>
    </row>
    <row r="373" spans="2:11" x14ac:dyDescent="0.3">
      <c r="B373" t="s">
        <v>388</v>
      </c>
      <c r="C373" t="s">
        <v>1615</v>
      </c>
      <c r="D373" t="s">
        <v>1609</v>
      </c>
      <c r="E373" t="s">
        <v>1617</v>
      </c>
      <c r="F373" t="s">
        <v>613</v>
      </c>
      <c r="G373" s="1">
        <f>EDATE('Data Garansi'!D363,6)</f>
        <v>46195</v>
      </c>
      <c r="I373" s="6">
        <f t="shared" si="20"/>
        <v>46375</v>
      </c>
      <c r="K373" s="6">
        <f t="shared" si="21"/>
        <v>46555</v>
      </c>
    </row>
    <row r="374" spans="2:11" x14ac:dyDescent="0.3">
      <c r="B374" t="s">
        <v>388</v>
      </c>
      <c r="C374" t="s">
        <v>1616</v>
      </c>
      <c r="D374" t="s">
        <v>1353</v>
      </c>
      <c r="E374" t="s">
        <v>1354</v>
      </c>
      <c r="F374" t="s">
        <v>608</v>
      </c>
      <c r="G374" s="1">
        <f>EDATE('Data Garansi'!D364,6)</f>
        <v>46195</v>
      </c>
      <c r="I374" s="6">
        <f t="shared" si="20"/>
        <v>46375</v>
      </c>
      <c r="K374" s="6">
        <f t="shared" si="21"/>
        <v>46555</v>
      </c>
    </row>
    <row r="375" spans="2:11" x14ac:dyDescent="0.3">
      <c r="B375" t="s">
        <v>389</v>
      </c>
      <c r="C375" t="s">
        <v>1577</v>
      </c>
      <c r="D375" t="s">
        <v>1610</v>
      </c>
      <c r="E375" s="55" t="s">
        <v>1579</v>
      </c>
      <c r="F375" t="s">
        <v>1595</v>
      </c>
      <c r="G375" s="1">
        <f>EDATE('Data Garansi'!D365,6)</f>
        <v>46202</v>
      </c>
      <c r="I375" s="6">
        <f t="shared" si="20"/>
        <v>46382</v>
      </c>
      <c r="K375" s="6">
        <f t="shared" si="21"/>
        <v>46562</v>
      </c>
    </row>
    <row r="376" spans="2:11" x14ac:dyDescent="0.3">
      <c r="B376" t="s">
        <v>389</v>
      </c>
      <c r="C376" t="s">
        <v>1361</v>
      </c>
      <c r="D376" t="s">
        <v>1627</v>
      </c>
      <c r="E376" t="s">
        <v>658</v>
      </c>
      <c r="F376" t="s">
        <v>1686</v>
      </c>
      <c r="G376" s="1">
        <f>EDATE('Data Garansi'!D366,6)</f>
        <v>46207</v>
      </c>
      <c r="I376" s="6">
        <f t="shared" si="20"/>
        <v>46387</v>
      </c>
      <c r="K376" s="6">
        <f t="shared" si="21"/>
        <v>46567</v>
      </c>
    </row>
    <row r="377" spans="2:11" x14ac:dyDescent="0.3">
      <c r="B377" t="s">
        <v>389</v>
      </c>
      <c r="C377" t="s">
        <v>1536</v>
      </c>
      <c r="D377" t="s">
        <v>1636</v>
      </c>
      <c r="E377" t="s">
        <v>1637</v>
      </c>
      <c r="F377" t="s">
        <v>610</v>
      </c>
      <c r="G377" s="1">
        <f>EDATE('Data Garansi'!D367,6)</f>
        <v>46211</v>
      </c>
      <c r="I377" s="6">
        <f t="shared" si="20"/>
        <v>46391</v>
      </c>
      <c r="K377" s="6">
        <f t="shared" si="21"/>
        <v>46571</v>
      </c>
    </row>
    <row r="378" spans="2:11" x14ac:dyDescent="0.3">
      <c r="B378" t="s">
        <v>341</v>
      </c>
      <c r="C378" t="s">
        <v>1024</v>
      </c>
      <c r="D378" t="s">
        <v>1638</v>
      </c>
      <c r="E378" t="s">
        <v>1639</v>
      </c>
      <c r="F378" t="s">
        <v>632</v>
      </c>
      <c r="G378" s="1">
        <f>EDATE('Data Garansi'!D368,6)</f>
        <v>46213</v>
      </c>
      <c r="I378" s="6">
        <f t="shared" si="20"/>
        <v>46393</v>
      </c>
      <c r="K378" s="6">
        <f t="shared" si="21"/>
        <v>46573</v>
      </c>
    </row>
    <row r="379" spans="2:11" x14ac:dyDescent="0.3">
      <c r="B379" t="s">
        <v>341</v>
      </c>
      <c r="C379" t="s">
        <v>1641</v>
      </c>
      <c r="D379" t="s">
        <v>1640</v>
      </c>
      <c r="E379" t="s">
        <v>1642</v>
      </c>
      <c r="G379" s="1">
        <f>EDATE('Data Garansi'!D369,6)</f>
        <v>46213</v>
      </c>
      <c r="I379" s="6">
        <f t="shared" si="20"/>
        <v>46393</v>
      </c>
      <c r="K379" s="6">
        <f t="shared" si="21"/>
        <v>46573</v>
      </c>
    </row>
    <row r="380" spans="2:11" x14ac:dyDescent="0.3">
      <c r="B380" t="s">
        <v>341</v>
      </c>
      <c r="C380" t="s">
        <v>1024</v>
      </c>
      <c r="D380" t="s">
        <v>1643</v>
      </c>
      <c r="E380" t="s">
        <v>1644</v>
      </c>
      <c r="G380" s="1">
        <f>EDATE('Data Garansi'!D370,6)</f>
        <v>46221</v>
      </c>
      <c r="I380" s="6">
        <f t="shared" si="20"/>
        <v>46401</v>
      </c>
      <c r="K380" s="6">
        <f t="shared" si="21"/>
        <v>46581</v>
      </c>
    </row>
    <row r="381" spans="2:11" x14ac:dyDescent="0.3">
      <c r="B381" t="s">
        <v>373</v>
      </c>
      <c r="C381" t="s">
        <v>1646</v>
      </c>
      <c r="D381" t="s">
        <v>1645</v>
      </c>
      <c r="E381" t="s">
        <v>1647</v>
      </c>
      <c r="G381" s="1">
        <f>EDATE('Data Garansi'!D371,6)</f>
        <v>46226</v>
      </c>
      <c r="I381" s="6">
        <f t="shared" si="20"/>
        <v>46406</v>
      </c>
      <c r="K381" s="6">
        <f t="shared" si="21"/>
        <v>46586</v>
      </c>
    </row>
    <row r="382" spans="2:11" x14ac:dyDescent="0.3">
      <c r="B382" t="s">
        <v>373</v>
      </c>
      <c r="C382" t="s">
        <v>1648</v>
      </c>
      <c r="D382" t="s">
        <v>1649</v>
      </c>
      <c r="E382" t="s">
        <v>1647</v>
      </c>
      <c r="G382" s="1">
        <f>EDATE('Data Garansi'!D372,6)</f>
        <v>46226</v>
      </c>
      <c r="I382" s="6">
        <f t="shared" si="20"/>
        <v>46406</v>
      </c>
      <c r="K382" s="6">
        <f t="shared" si="21"/>
        <v>46586</v>
      </c>
    </row>
    <row r="383" spans="2:11" x14ac:dyDescent="0.3">
      <c r="B383" t="s">
        <v>373</v>
      </c>
      <c r="C383" t="s">
        <v>1451</v>
      </c>
      <c r="D383" t="s">
        <v>1650</v>
      </c>
      <c r="E383" t="s">
        <v>1651</v>
      </c>
      <c r="G383" s="1">
        <f>EDATE('Data Garansi'!D373,6)</f>
        <v>46227</v>
      </c>
      <c r="I383" s="6">
        <f t="shared" si="20"/>
        <v>46407</v>
      </c>
      <c r="K383" s="6">
        <f t="shared" si="21"/>
        <v>46587</v>
      </c>
    </row>
    <row r="384" spans="2:11" x14ac:dyDescent="0.3">
      <c r="B384" t="s">
        <v>1652</v>
      </c>
      <c r="C384" t="s">
        <v>1653</v>
      </c>
      <c r="D384" t="s">
        <v>1501</v>
      </c>
      <c r="E384" t="s">
        <v>1654</v>
      </c>
      <c r="G384" s="1">
        <f>EDATE('Data Garansi'!D374,6)</f>
        <v>46238</v>
      </c>
      <c r="I384" s="6">
        <f t="shared" si="20"/>
        <v>46418</v>
      </c>
      <c r="K384" s="6">
        <f t="shared" si="21"/>
        <v>46598</v>
      </c>
    </row>
    <row r="385" spans="2:11" x14ac:dyDescent="0.3">
      <c r="B385" t="s">
        <v>373</v>
      </c>
      <c r="C385" t="s">
        <v>1558</v>
      </c>
      <c r="D385" t="s">
        <v>1559</v>
      </c>
      <c r="E385" t="s">
        <v>1655</v>
      </c>
      <c r="G385" s="1">
        <f>EDATE('Data Garansi'!D375,6)</f>
        <v>46241</v>
      </c>
      <c r="I385" s="6">
        <f t="shared" si="20"/>
        <v>46421</v>
      </c>
      <c r="K385" s="6">
        <f t="shared" si="21"/>
        <v>46601</v>
      </c>
    </row>
    <row r="386" spans="2:11" x14ac:dyDescent="0.3">
      <c r="B386" t="s">
        <v>389</v>
      </c>
      <c r="C386" t="s">
        <v>1658</v>
      </c>
      <c r="D386" t="s">
        <v>1657</v>
      </c>
      <c r="E386" t="s">
        <v>1656</v>
      </c>
      <c r="G386" s="1">
        <f>EDATE('Data Garansi'!D376,6)</f>
        <v>46241</v>
      </c>
      <c r="I386" s="6">
        <f t="shared" si="20"/>
        <v>46421</v>
      </c>
      <c r="K386" s="6">
        <f t="shared" si="21"/>
        <v>46601</v>
      </c>
    </row>
    <row r="387" spans="2:11" x14ac:dyDescent="0.3">
      <c r="B387" t="s">
        <v>373</v>
      </c>
      <c r="C387" t="s">
        <v>1511</v>
      </c>
      <c r="D387" t="s">
        <v>1659</v>
      </c>
      <c r="E387" t="s">
        <v>1513</v>
      </c>
      <c r="G387" s="1">
        <f>EDATE('Data Garansi'!D377,6)</f>
        <v>46242</v>
      </c>
      <c r="I387" s="6">
        <f t="shared" si="20"/>
        <v>46422</v>
      </c>
      <c r="K387" s="6">
        <f t="shared" si="21"/>
        <v>46602</v>
      </c>
    </row>
    <row r="388" spans="2:11" x14ac:dyDescent="0.3">
      <c r="B388" t="s">
        <v>373</v>
      </c>
      <c r="C388" t="s">
        <v>1378</v>
      </c>
      <c r="D388" t="s">
        <v>1379</v>
      </c>
      <c r="E388" t="s">
        <v>1380</v>
      </c>
      <c r="G388" s="1">
        <f>EDATE('Data Garansi'!D378,6)</f>
        <v>46246</v>
      </c>
      <c r="I388" s="6">
        <f t="shared" si="20"/>
        <v>46426</v>
      </c>
      <c r="K388" s="6">
        <f t="shared" si="21"/>
        <v>46606</v>
      </c>
    </row>
    <row r="389" spans="2:11" x14ac:dyDescent="0.3">
      <c r="B389" t="s">
        <v>389</v>
      </c>
      <c r="C389" t="s">
        <v>1257</v>
      </c>
      <c r="D389" t="s">
        <v>1258</v>
      </c>
      <c r="E389" t="s">
        <v>1259</v>
      </c>
      <c r="G389" s="1">
        <f>EDATE('Data Garansi'!D379,6)</f>
        <v>46253</v>
      </c>
      <c r="I389" s="6">
        <f t="shared" ref="I389:I403" si="22">G389+180</f>
        <v>46433</v>
      </c>
      <c r="K389" s="6">
        <f t="shared" ref="K389:K403" si="23">I389+180</f>
        <v>46613</v>
      </c>
    </row>
    <row r="390" spans="2:11" x14ac:dyDescent="0.3">
      <c r="B390" t="s">
        <v>389</v>
      </c>
      <c r="C390" t="s">
        <v>1411</v>
      </c>
      <c r="D390" t="s">
        <v>1412</v>
      </c>
      <c r="E390" t="s">
        <v>1413</v>
      </c>
      <c r="G390" s="1">
        <f>EDATE('Data Garansi'!D380,6)</f>
        <v>46253</v>
      </c>
      <c r="I390" s="6">
        <f t="shared" si="22"/>
        <v>46433</v>
      </c>
      <c r="K390" s="6">
        <f t="shared" si="23"/>
        <v>46613</v>
      </c>
    </row>
    <row r="391" spans="2:11" x14ac:dyDescent="0.3">
      <c r="B391" t="s">
        <v>389</v>
      </c>
      <c r="C391" t="s">
        <v>1564</v>
      </c>
      <c r="D391" t="s">
        <v>1660</v>
      </c>
      <c r="E391" t="s">
        <v>1566</v>
      </c>
      <c r="G391" s="1">
        <f>EDATE('Data Garansi'!D381,6)</f>
        <v>46255</v>
      </c>
      <c r="I391" s="6">
        <f t="shared" si="22"/>
        <v>46435</v>
      </c>
      <c r="K391" s="6">
        <f t="shared" si="23"/>
        <v>46615</v>
      </c>
    </row>
    <row r="392" spans="2:11" x14ac:dyDescent="0.3">
      <c r="B392" t="s">
        <v>373</v>
      </c>
      <c r="C392" t="s">
        <v>1490</v>
      </c>
      <c r="D392" t="s">
        <v>1675</v>
      </c>
      <c r="E392" t="s">
        <v>1492</v>
      </c>
      <c r="G392" s="1">
        <f>EDATE('Data Garansi'!D382,6)</f>
        <v>46268</v>
      </c>
      <c r="I392" s="6">
        <f t="shared" si="22"/>
        <v>46448</v>
      </c>
      <c r="K392" s="6">
        <f t="shared" si="23"/>
        <v>46628</v>
      </c>
    </row>
    <row r="393" spans="2:11" x14ac:dyDescent="0.3">
      <c r="B393" t="s">
        <v>388</v>
      </c>
      <c r="C393" t="s">
        <v>1567</v>
      </c>
      <c r="D393" s="27" t="s">
        <v>1662</v>
      </c>
      <c r="E393" t="s">
        <v>1569</v>
      </c>
      <c r="G393" s="1">
        <f>EDATE('Data Garansi'!D383,6)</f>
        <v>46268</v>
      </c>
      <c r="I393" s="6">
        <f t="shared" si="22"/>
        <v>46448</v>
      </c>
      <c r="K393" s="6">
        <f t="shared" si="23"/>
        <v>46628</v>
      </c>
    </row>
    <row r="394" spans="2:11" x14ac:dyDescent="0.3">
      <c r="B394" t="s">
        <v>388</v>
      </c>
      <c r="C394" t="s">
        <v>1664</v>
      </c>
      <c r="D394" t="s">
        <v>1663</v>
      </c>
      <c r="E394" t="s">
        <v>1676</v>
      </c>
      <c r="G394" s="1">
        <f>EDATE('Data Garansi'!D384,6)</f>
        <v>46269</v>
      </c>
      <c r="I394" s="6">
        <f t="shared" si="22"/>
        <v>46449</v>
      </c>
      <c r="K394" s="6">
        <f t="shared" si="23"/>
        <v>46629</v>
      </c>
    </row>
    <row r="395" spans="2:11" x14ac:dyDescent="0.3">
      <c r="B395" t="s">
        <v>389</v>
      </c>
      <c r="C395" t="s">
        <v>1666</v>
      </c>
      <c r="D395" t="s">
        <v>1665</v>
      </c>
      <c r="E395" t="s">
        <v>1574</v>
      </c>
      <c r="G395" s="1">
        <f>EDATE('Data Garansi'!D385,6)</f>
        <v>46272</v>
      </c>
      <c r="I395" s="6">
        <f t="shared" si="22"/>
        <v>46452</v>
      </c>
      <c r="K395" s="6">
        <f t="shared" si="23"/>
        <v>46632</v>
      </c>
    </row>
    <row r="396" spans="2:11" x14ac:dyDescent="0.3">
      <c r="B396" t="s">
        <v>1668</v>
      </c>
      <c r="C396" t="s">
        <v>1641</v>
      </c>
      <c r="D396" t="s">
        <v>1667</v>
      </c>
      <c r="E396" t="s">
        <v>1677</v>
      </c>
      <c r="G396" s="1">
        <f>EDATE('Data Garansi'!D386,6)</f>
        <v>46276</v>
      </c>
      <c r="I396" s="6">
        <f t="shared" si="22"/>
        <v>46456</v>
      </c>
      <c r="K396" s="6">
        <f t="shared" si="23"/>
        <v>46636</v>
      </c>
    </row>
    <row r="397" spans="2:11" x14ac:dyDescent="0.3">
      <c r="B397" t="s">
        <v>388</v>
      </c>
      <c r="C397" t="s">
        <v>1520</v>
      </c>
      <c r="D397" t="s">
        <v>1521</v>
      </c>
      <c r="E397" t="s">
        <v>1522</v>
      </c>
      <c r="F397" t="s">
        <v>611</v>
      </c>
      <c r="G397" s="1">
        <f>EDATE('Data Garansi'!D387,6)</f>
        <v>46279</v>
      </c>
      <c r="I397" s="6">
        <f t="shared" si="22"/>
        <v>46459</v>
      </c>
      <c r="K397" s="6">
        <f t="shared" si="23"/>
        <v>46639</v>
      </c>
    </row>
    <row r="398" spans="2:11" x14ac:dyDescent="0.3">
      <c r="B398" t="s">
        <v>389</v>
      </c>
      <c r="C398" t="s">
        <v>1669</v>
      </c>
      <c r="D398" t="s">
        <v>1670</v>
      </c>
      <c r="E398" t="s">
        <v>1306</v>
      </c>
      <c r="F398" t="s">
        <v>622</v>
      </c>
      <c r="G398" s="1">
        <f>EDATE('Data Garansi'!D388,6)</f>
        <v>46281</v>
      </c>
      <c r="I398" s="6">
        <f t="shared" si="22"/>
        <v>46461</v>
      </c>
      <c r="K398" s="6">
        <f t="shared" si="23"/>
        <v>46641</v>
      </c>
    </row>
    <row r="399" spans="2:11" x14ac:dyDescent="0.3">
      <c r="B399" t="s">
        <v>389</v>
      </c>
      <c r="C399" t="s">
        <v>1671</v>
      </c>
      <c r="D399" t="s">
        <v>1672</v>
      </c>
      <c r="E399" t="s">
        <v>1678</v>
      </c>
      <c r="F399" t="s">
        <v>641</v>
      </c>
      <c r="G399" s="1">
        <f>EDATE('Data Garansi'!D389,6)</f>
        <v>46283</v>
      </c>
      <c r="I399" s="6">
        <f t="shared" si="22"/>
        <v>46463</v>
      </c>
      <c r="K399" s="6">
        <f t="shared" si="23"/>
        <v>46643</v>
      </c>
    </row>
    <row r="400" spans="2:11" x14ac:dyDescent="0.3">
      <c r="B400" t="s">
        <v>341</v>
      </c>
      <c r="C400" t="s">
        <v>1024</v>
      </c>
      <c r="D400" t="s">
        <v>1673</v>
      </c>
      <c r="E400" t="s">
        <v>1679</v>
      </c>
      <c r="F400" t="s">
        <v>610</v>
      </c>
      <c r="G400" s="1">
        <f>EDATE('Data Garansi'!D390,6)</f>
        <v>46283</v>
      </c>
      <c r="I400" s="6">
        <f t="shared" si="22"/>
        <v>46463</v>
      </c>
      <c r="K400" s="6">
        <f t="shared" si="23"/>
        <v>46643</v>
      </c>
    </row>
    <row r="401" spans="2:11" x14ac:dyDescent="0.3">
      <c r="B401" t="s">
        <v>341</v>
      </c>
      <c r="C401" t="s">
        <v>1024</v>
      </c>
      <c r="D401" t="s">
        <v>1674</v>
      </c>
      <c r="E401" s="27" t="s">
        <v>1680</v>
      </c>
      <c r="F401" t="s">
        <v>617</v>
      </c>
      <c r="G401" s="1">
        <f>EDATE('Data Garansi'!D391,6)</f>
        <v>46290</v>
      </c>
      <c r="I401" s="6">
        <f t="shared" si="22"/>
        <v>46470</v>
      </c>
      <c r="K401" s="6">
        <f t="shared" si="23"/>
        <v>46650</v>
      </c>
    </row>
    <row r="402" spans="2:11" x14ac:dyDescent="0.3">
      <c r="B402" t="s">
        <v>341</v>
      </c>
      <c r="C402" t="s">
        <v>1024</v>
      </c>
      <c r="D402" t="s">
        <v>1681</v>
      </c>
      <c r="E402" t="s">
        <v>1682</v>
      </c>
      <c r="F402" t="s">
        <v>617</v>
      </c>
      <c r="G402" s="1">
        <f>EDATE('Data Garansi'!D392,6)</f>
        <v>46293</v>
      </c>
      <c r="I402" s="6">
        <f t="shared" si="22"/>
        <v>46473</v>
      </c>
      <c r="K402" s="6">
        <f t="shared" si="23"/>
        <v>46653</v>
      </c>
    </row>
    <row r="403" spans="2:11" x14ac:dyDescent="0.3">
      <c r="B403" t="s">
        <v>389</v>
      </c>
      <c r="C403" t="s">
        <v>1683</v>
      </c>
      <c r="D403" t="s">
        <v>1684</v>
      </c>
      <c r="E403" t="s">
        <v>1685</v>
      </c>
      <c r="F403" t="s">
        <v>608</v>
      </c>
      <c r="G403" s="1">
        <f>EDATE('Data Garansi'!D393,6)</f>
        <v>46303</v>
      </c>
      <c r="I403" s="6">
        <f>G403+180</f>
        <v>46483</v>
      </c>
      <c r="K403" s="6">
        <f>I403+180</f>
        <v>46663</v>
      </c>
    </row>
    <row r="404" spans="2:11" x14ac:dyDescent="0.3">
      <c r="B404" t="s">
        <v>1692</v>
      </c>
      <c r="C404" t="s">
        <v>1691</v>
      </c>
      <c r="D404" t="s">
        <v>1690</v>
      </c>
      <c r="F404" t="s">
        <v>1693</v>
      </c>
      <c r="G404" s="1">
        <v>45958</v>
      </c>
      <c r="H404" s="22" t="s">
        <v>408</v>
      </c>
      <c r="I404" s="6">
        <f>G404+180</f>
        <v>46138</v>
      </c>
    </row>
  </sheetData>
  <autoFilter ref="A1:M375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R506"/>
  <sheetViews>
    <sheetView topLeftCell="B373" zoomScale="115" zoomScaleNormal="115" workbookViewId="0">
      <selection activeCell="D394" sqref="D394"/>
    </sheetView>
  </sheetViews>
  <sheetFormatPr defaultRowHeight="14.4" x14ac:dyDescent="0.3"/>
  <cols>
    <col min="1" max="1" width="4" bestFit="1" customWidth="1"/>
    <col min="2" max="2" width="23" bestFit="1" customWidth="1"/>
    <col min="4" max="4" width="11.88671875" bestFit="1" customWidth="1"/>
    <col min="5" max="5" width="52.109375" bestFit="1" customWidth="1"/>
    <col min="6" max="6" width="18.5546875" style="5" bestFit="1" customWidth="1"/>
    <col min="7" max="7" width="12.21875" style="6" customWidth="1"/>
    <col min="8" max="8" width="14.21875" style="5" bestFit="1" customWidth="1"/>
    <col min="9" max="9" width="16.109375" style="5" bestFit="1" customWidth="1"/>
    <col min="10" max="10" width="19.44140625" style="5" bestFit="1" customWidth="1"/>
    <col min="11" max="18" width="8.88671875" style="5"/>
  </cols>
  <sheetData>
    <row r="1" spans="1:10" x14ac:dyDescent="0.3">
      <c r="A1" s="9" t="s">
        <v>0</v>
      </c>
      <c r="B1" s="9" t="s">
        <v>360</v>
      </c>
      <c r="C1" s="9" t="s">
        <v>359</v>
      </c>
      <c r="D1" s="9" t="s">
        <v>390</v>
      </c>
      <c r="E1" s="9" t="s">
        <v>1</v>
      </c>
      <c r="F1" s="10" t="s">
        <v>402</v>
      </c>
      <c r="G1" s="11" t="s">
        <v>394</v>
      </c>
      <c r="H1" s="10" t="s">
        <v>395</v>
      </c>
      <c r="I1" s="10" t="s">
        <v>393</v>
      </c>
      <c r="J1" s="10" t="s">
        <v>420</v>
      </c>
    </row>
    <row r="2" spans="1:10" x14ac:dyDescent="0.3">
      <c r="A2">
        <v>1</v>
      </c>
      <c r="B2" t="s">
        <v>362</v>
      </c>
      <c r="C2" t="s">
        <v>228</v>
      </c>
      <c r="D2" s="1">
        <v>44201</v>
      </c>
      <c r="E2" t="s">
        <v>23</v>
      </c>
      <c r="F2" s="12">
        <v>365</v>
      </c>
      <c r="G2" s="6">
        <f ca="1">TODAY()</f>
        <v>46150</v>
      </c>
      <c r="H2" s="7">
        <f t="shared" ref="H2:H65" ca="1" si="0">G2-D2</f>
        <v>1949</v>
      </c>
      <c r="I2" s="5" t="str">
        <f t="shared" ref="I2:I65" ca="1" si="1">IF(H2&gt;F2,"Tidak","Garansi")</f>
        <v>Tidak</v>
      </c>
    </row>
    <row r="3" spans="1:10" x14ac:dyDescent="0.3">
      <c r="A3">
        <v>2</v>
      </c>
      <c r="B3" t="s">
        <v>365</v>
      </c>
      <c r="C3" t="s">
        <v>227</v>
      </c>
      <c r="D3" s="1">
        <v>44255</v>
      </c>
      <c r="E3" t="s">
        <v>22</v>
      </c>
      <c r="F3" s="5">
        <v>365</v>
      </c>
      <c r="G3" s="6">
        <f t="shared" ref="G3:G66" ca="1" si="2">TODAY()</f>
        <v>46150</v>
      </c>
      <c r="H3" s="7">
        <f t="shared" ca="1" si="0"/>
        <v>1895</v>
      </c>
      <c r="I3" s="5" t="str">
        <f t="shared" ca="1" si="1"/>
        <v>Tidak</v>
      </c>
    </row>
    <row r="4" spans="1:10" x14ac:dyDescent="0.3">
      <c r="A4">
        <v>3</v>
      </c>
      <c r="B4" t="s">
        <v>362</v>
      </c>
      <c r="C4" t="s">
        <v>208</v>
      </c>
      <c r="D4" s="1">
        <v>44400</v>
      </c>
      <c r="E4" t="s">
        <v>3</v>
      </c>
      <c r="F4" s="5">
        <v>365</v>
      </c>
      <c r="G4" s="6">
        <f t="shared" ca="1" si="2"/>
        <v>46150</v>
      </c>
      <c r="H4" s="7">
        <f t="shared" ca="1" si="0"/>
        <v>1750</v>
      </c>
      <c r="I4" s="5" t="str">
        <f t="shared" ca="1" si="1"/>
        <v>Tidak</v>
      </c>
    </row>
    <row r="5" spans="1:10" x14ac:dyDescent="0.3">
      <c r="A5">
        <v>4</v>
      </c>
      <c r="B5" t="s">
        <v>363</v>
      </c>
      <c r="C5" t="s">
        <v>209</v>
      </c>
      <c r="D5" s="1">
        <v>44428</v>
      </c>
      <c r="E5" t="s">
        <v>4</v>
      </c>
      <c r="F5" s="5">
        <v>365</v>
      </c>
      <c r="G5" s="6">
        <f t="shared" ca="1" si="2"/>
        <v>46150</v>
      </c>
      <c r="H5" s="7">
        <f t="shared" ca="1" si="0"/>
        <v>1722</v>
      </c>
      <c r="I5" s="5" t="str">
        <f t="shared" ca="1" si="1"/>
        <v>Tidak</v>
      </c>
    </row>
    <row r="6" spans="1:10" x14ac:dyDescent="0.3">
      <c r="A6">
        <v>5</v>
      </c>
      <c r="B6" t="s">
        <v>361</v>
      </c>
      <c r="C6" t="s">
        <v>207</v>
      </c>
      <c r="D6" s="1">
        <v>44435</v>
      </c>
      <c r="E6" t="s">
        <v>2</v>
      </c>
      <c r="F6" s="5">
        <v>365</v>
      </c>
      <c r="G6" s="6">
        <f t="shared" ca="1" si="2"/>
        <v>46150</v>
      </c>
      <c r="H6" s="7">
        <f t="shared" ca="1" si="0"/>
        <v>1715</v>
      </c>
      <c r="I6" s="5" t="str">
        <f t="shared" ca="1" si="1"/>
        <v>Tidak</v>
      </c>
    </row>
    <row r="7" spans="1:10" x14ac:dyDescent="0.3">
      <c r="A7">
        <v>6</v>
      </c>
      <c r="B7" t="s">
        <v>362</v>
      </c>
      <c r="C7" t="s">
        <v>214</v>
      </c>
      <c r="D7" s="1">
        <v>44474</v>
      </c>
      <c r="E7" t="s">
        <v>9</v>
      </c>
      <c r="F7" s="5">
        <v>365</v>
      </c>
      <c r="G7" s="6">
        <f t="shared" ca="1" si="2"/>
        <v>46150</v>
      </c>
      <c r="H7" s="7">
        <f t="shared" ca="1" si="0"/>
        <v>1676</v>
      </c>
      <c r="I7" s="5" t="str">
        <f t="shared" ca="1" si="1"/>
        <v>Tidak</v>
      </c>
    </row>
    <row r="8" spans="1:10" x14ac:dyDescent="0.3">
      <c r="A8">
        <v>7</v>
      </c>
      <c r="B8" t="s">
        <v>362</v>
      </c>
      <c r="C8" t="s">
        <v>219</v>
      </c>
      <c r="D8" s="1">
        <v>44490</v>
      </c>
      <c r="E8" t="s">
        <v>14</v>
      </c>
      <c r="F8" s="5">
        <v>365</v>
      </c>
      <c r="G8" s="6">
        <f t="shared" ca="1" si="2"/>
        <v>46150</v>
      </c>
      <c r="H8" s="7">
        <f t="shared" ca="1" si="0"/>
        <v>1660</v>
      </c>
      <c r="I8" s="5" t="str">
        <f t="shared" ca="1" si="1"/>
        <v>Tidak</v>
      </c>
    </row>
    <row r="9" spans="1:10" x14ac:dyDescent="0.3">
      <c r="A9">
        <v>8</v>
      </c>
      <c r="B9" t="s">
        <v>362</v>
      </c>
      <c r="C9" t="s">
        <v>213</v>
      </c>
      <c r="D9" s="1">
        <v>44517</v>
      </c>
      <c r="E9" t="s">
        <v>8</v>
      </c>
      <c r="F9" s="5">
        <v>365</v>
      </c>
      <c r="G9" s="6">
        <f t="shared" ca="1" si="2"/>
        <v>46150</v>
      </c>
      <c r="H9" s="7">
        <f t="shared" ca="1" si="0"/>
        <v>1633</v>
      </c>
      <c r="I9" s="5" t="str">
        <f t="shared" ca="1" si="1"/>
        <v>Tidak</v>
      </c>
    </row>
    <row r="10" spans="1:10" x14ac:dyDescent="0.3">
      <c r="A10">
        <v>9</v>
      </c>
      <c r="B10" t="s">
        <v>362</v>
      </c>
      <c r="C10" t="s">
        <v>225</v>
      </c>
      <c r="D10" s="1">
        <v>44525</v>
      </c>
      <c r="E10" t="s">
        <v>20</v>
      </c>
      <c r="F10" s="5">
        <v>365</v>
      </c>
      <c r="G10" s="6">
        <f t="shared" ca="1" si="2"/>
        <v>46150</v>
      </c>
      <c r="H10" s="7">
        <f t="shared" ca="1" si="0"/>
        <v>1625</v>
      </c>
      <c r="I10" s="5" t="str">
        <f t="shared" ca="1" si="1"/>
        <v>Tidak</v>
      </c>
    </row>
    <row r="11" spans="1:10" x14ac:dyDescent="0.3">
      <c r="A11">
        <v>10</v>
      </c>
      <c r="B11" t="s">
        <v>362</v>
      </c>
      <c r="C11" t="s">
        <v>222</v>
      </c>
      <c r="D11" s="1">
        <v>44539</v>
      </c>
      <c r="E11" t="s">
        <v>17</v>
      </c>
      <c r="F11" s="5">
        <v>365</v>
      </c>
      <c r="G11" s="6">
        <f t="shared" ca="1" si="2"/>
        <v>46150</v>
      </c>
      <c r="H11" s="7">
        <f t="shared" ca="1" si="0"/>
        <v>1611</v>
      </c>
      <c r="I11" s="5" t="str">
        <f t="shared" ca="1" si="1"/>
        <v>Tidak</v>
      </c>
    </row>
    <row r="12" spans="1:10" x14ac:dyDescent="0.3">
      <c r="A12">
        <v>11</v>
      </c>
      <c r="B12" t="s">
        <v>362</v>
      </c>
      <c r="C12" t="s">
        <v>226</v>
      </c>
      <c r="D12" s="1">
        <v>44540</v>
      </c>
      <c r="E12" t="s">
        <v>21</v>
      </c>
      <c r="F12" s="5">
        <v>365</v>
      </c>
      <c r="G12" s="6">
        <f t="shared" ca="1" si="2"/>
        <v>46150</v>
      </c>
      <c r="H12" s="7">
        <f t="shared" ca="1" si="0"/>
        <v>1610</v>
      </c>
      <c r="I12" s="5" t="str">
        <f t="shared" ca="1" si="1"/>
        <v>Tidak</v>
      </c>
    </row>
    <row r="13" spans="1:10" x14ac:dyDescent="0.3">
      <c r="A13">
        <v>12</v>
      </c>
      <c r="B13" t="s">
        <v>362</v>
      </c>
      <c r="C13" t="s">
        <v>216</v>
      </c>
      <c r="D13" s="1">
        <v>44542</v>
      </c>
      <c r="E13" t="s">
        <v>11</v>
      </c>
      <c r="F13" s="5">
        <v>365</v>
      </c>
      <c r="G13" s="6">
        <f t="shared" ca="1" si="2"/>
        <v>46150</v>
      </c>
      <c r="H13" s="7">
        <f t="shared" ca="1" si="0"/>
        <v>1608</v>
      </c>
      <c r="I13" s="5" t="str">
        <f t="shared" ca="1" si="1"/>
        <v>Tidak</v>
      </c>
    </row>
    <row r="14" spans="1:10" x14ac:dyDescent="0.3">
      <c r="A14">
        <v>13</v>
      </c>
      <c r="B14" t="s">
        <v>362</v>
      </c>
      <c r="C14" t="s">
        <v>224</v>
      </c>
      <c r="D14" s="1">
        <v>44551</v>
      </c>
      <c r="E14" t="s">
        <v>19</v>
      </c>
      <c r="F14" s="5">
        <v>365</v>
      </c>
      <c r="G14" s="6">
        <f t="shared" ca="1" si="2"/>
        <v>46150</v>
      </c>
      <c r="H14" s="7">
        <f t="shared" ca="1" si="0"/>
        <v>1599</v>
      </c>
      <c r="I14" s="5" t="str">
        <f t="shared" ca="1" si="1"/>
        <v>Tidak</v>
      </c>
    </row>
    <row r="15" spans="1:10" x14ac:dyDescent="0.3">
      <c r="A15">
        <v>14</v>
      </c>
      <c r="B15" t="s">
        <v>362</v>
      </c>
      <c r="C15" t="s">
        <v>424</v>
      </c>
      <c r="D15" s="1">
        <v>44557</v>
      </c>
      <c r="E15" t="s">
        <v>5</v>
      </c>
      <c r="F15" s="5">
        <v>365</v>
      </c>
      <c r="G15" s="6">
        <f t="shared" ca="1" si="2"/>
        <v>46150</v>
      </c>
      <c r="H15" s="7">
        <f t="shared" ca="1" si="0"/>
        <v>1593</v>
      </c>
      <c r="I15" s="5" t="str">
        <f t="shared" ca="1" si="1"/>
        <v>Tidak</v>
      </c>
    </row>
    <row r="16" spans="1:10" x14ac:dyDescent="0.3">
      <c r="A16">
        <v>15</v>
      </c>
      <c r="B16" t="s">
        <v>364</v>
      </c>
      <c r="C16" t="s">
        <v>229</v>
      </c>
      <c r="D16" s="1">
        <v>44571</v>
      </c>
      <c r="E16" t="s">
        <v>24</v>
      </c>
      <c r="F16" s="5">
        <v>365</v>
      </c>
      <c r="G16" s="6">
        <f t="shared" ca="1" si="2"/>
        <v>46150</v>
      </c>
      <c r="H16" s="7">
        <f t="shared" ca="1" si="0"/>
        <v>1579</v>
      </c>
      <c r="I16" s="5" t="str">
        <f t="shared" ca="1" si="1"/>
        <v>Tidak</v>
      </c>
    </row>
    <row r="17" spans="1:9" x14ac:dyDescent="0.3">
      <c r="A17">
        <v>16</v>
      </c>
      <c r="B17" t="s">
        <v>364</v>
      </c>
      <c r="C17" t="s">
        <v>236</v>
      </c>
      <c r="D17" s="1">
        <v>44582</v>
      </c>
      <c r="E17" t="s">
        <v>32</v>
      </c>
      <c r="F17" s="5">
        <v>365</v>
      </c>
      <c r="G17" s="6">
        <f t="shared" ca="1" si="2"/>
        <v>46150</v>
      </c>
      <c r="H17" s="7">
        <f t="shared" ca="1" si="0"/>
        <v>1568</v>
      </c>
      <c r="I17" s="5" t="str">
        <f t="shared" ca="1" si="1"/>
        <v>Tidak</v>
      </c>
    </row>
    <row r="18" spans="1:9" x14ac:dyDescent="0.3">
      <c r="A18">
        <v>17</v>
      </c>
      <c r="B18" t="s">
        <v>362</v>
      </c>
      <c r="C18" t="s">
        <v>237</v>
      </c>
      <c r="D18" s="1">
        <v>44600</v>
      </c>
      <c r="E18" t="s">
        <v>33</v>
      </c>
      <c r="F18" s="5">
        <v>365</v>
      </c>
      <c r="G18" s="6">
        <f t="shared" ca="1" si="2"/>
        <v>46150</v>
      </c>
      <c r="H18" s="7">
        <f t="shared" ca="1" si="0"/>
        <v>1550</v>
      </c>
      <c r="I18" s="5" t="str">
        <f t="shared" ca="1" si="1"/>
        <v>Tidak</v>
      </c>
    </row>
    <row r="19" spans="1:9" x14ac:dyDescent="0.3">
      <c r="A19">
        <v>18</v>
      </c>
      <c r="B19" t="s">
        <v>363</v>
      </c>
      <c r="C19" t="s">
        <v>212</v>
      </c>
      <c r="D19" s="1">
        <v>44601</v>
      </c>
      <c r="E19" t="s">
        <v>7</v>
      </c>
      <c r="F19" s="5">
        <v>365</v>
      </c>
      <c r="G19" s="6">
        <f t="shared" ca="1" si="2"/>
        <v>46150</v>
      </c>
      <c r="H19" s="7">
        <f t="shared" ca="1" si="0"/>
        <v>1549</v>
      </c>
      <c r="I19" s="5" t="str">
        <f t="shared" ca="1" si="1"/>
        <v>Tidak</v>
      </c>
    </row>
    <row r="20" spans="1:9" x14ac:dyDescent="0.3">
      <c r="A20">
        <v>19</v>
      </c>
      <c r="B20" t="s">
        <v>362</v>
      </c>
      <c r="C20" t="s">
        <v>215</v>
      </c>
      <c r="D20" s="1">
        <v>44602</v>
      </c>
      <c r="E20" t="s">
        <v>10</v>
      </c>
      <c r="F20" s="5">
        <v>365</v>
      </c>
      <c r="G20" s="6">
        <f t="shared" ca="1" si="2"/>
        <v>46150</v>
      </c>
      <c r="H20" s="7">
        <f t="shared" ca="1" si="0"/>
        <v>1548</v>
      </c>
      <c r="I20" s="5" t="str">
        <f t="shared" ca="1" si="1"/>
        <v>Tidak</v>
      </c>
    </row>
    <row r="21" spans="1:9" x14ac:dyDescent="0.3">
      <c r="A21">
        <v>20</v>
      </c>
      <c r="B21" t="s">
        <v>362</v>
      </c>
      <c r="C21" t="s">
        <v>211</v>
      </c>
      <c r="D21" s="1">
        <v>44610</v>
      </c>
      <c r="E21" t="s">
        <v>6</v>
      </c>
      <c r="F21" s="5">
        <v>365</v>
      </c>
      <c r="G21" s="6">
        <f t="shared" ca="1" si="2"/>
        <v>46150</v>
      </c>
      <c r="H21" s="7">
        <f t="shared" ca="1" si="0"/>
        <v>1540</v>
      </c>
      <c r="I21" s="5" t="str">
        <f t="shared" ca="1" si="1"/>
        <v>Tidak</v>
      </c>
    </row>
    <row r="22" spans="1:9" x14ac:dyDescent="0.3">
      <c r="A22">
        <v>21</v>
      </c>
      <c r="B22" t="s">
        <v>367</v>
      </c>
      <c r="C22" t="s">
        <v>244</v>
      </c>
      <c r="D22" s="1">
        <v>44622</v>
      </c>
      <c r="E22" t="s">
        <v>41</v>
      </c>
      <c r="F22" s="5">
        <v>365</v>
      </c>
      <c r="G22" s="6">
        <f t="shared" ca="1" si="2"/>
        <v>46150</v>
      </c>
      <c r="H22" s="7">
        <f t="shared" ca="1" si="0"/>
        <v>1528</v>
      </c>
      <c r="I22" s="5" t="str">
        <f t="shared" ca="1" si="1"/>
        <v>Tidak</v>
      </c>
    </row>
    <row r="23" spans="1:9" x14ac:dyDescent="0.3">
      <c r="A23">
        <v>22</v>
      </c>
      <c r="B23" t="s">
        <v>367</v>
      </c>
      <c r="C23" t="s">
        <v>247</v>
      </c>
      <c r="D23" s="1">
        <v>44622</v>
      </c>
      <c r="E23" t="s">
        <v>44</v>
      </c>
      <c r="F23" s="5">
        <v>365</v>
      </c>
      <c r="G23" s="6">
        <f t="shared" ca="1" si="2"/>
        <v>46150</v>
      </c>
      <c r="H23" s="7">
        <f t="shared" ca="1" si="0"/>
        <v>1528</v>
      </c>
      <c r="I23" s="5" t="str">
        <f t="shared" ca="1" si="1"/>
        <v>Tidak</v>
      </c>
    </row>
    <row r="24" spans="1:9" x14ac:dyDescent="0.3">
      <c r="A24">
        <v>23</v>
      </c>
      <c r="B24" t="s">
        <v>362</v>
      </c>
      <c r="C24" t="s">
        <v>210</v>
      </c>
      <c r="D24" s="1">
        <v>44624</v>
      </c>
      <c r="E24" t="s">
        <v>5</v>
      </c>
      <c r="F24" s="5">
        <v>365</v>
      </c>
      <c r="G24" s="6">
        <f t="shared" ca="1" si="2"/>
        <v>46150</v>
      </c>
      <c r="H24" s="7">
        <f t="shared" ca="1" si="0"/>
        <v>1526</v>
      </c>
      <c r="I24" s="5" t="str">
        <f t="shared" ca="1" si="1"/>
        <v>Tidak</v>
      </c>
    </row>
    <row r="25" spans="1:9" x14ac:dyDescent="0.3">
      <c r="A25">
        <v>24</v>
      </c>
      <c r="B25" t="s">
        <v>363</v>
      </c>
      <c r="C25" t="s">
        <v>217</v>
      </c>
      <c r="D25" s="1">
        <v>44628</v>
      </c>
      <c r="E25" t="s">
        <v>12</v>
      </c>
      <c r="F25" s="5">
        <v>365</v>
      </c>
      <c r="G25" s="6">
        <f t="shared" ca="1" si="2"/>
        <v>46150</v>
      </c>
      <c r="H25" s="7">
        <f t="shared" ca="1" si="0"/>
        <v>1522</v>
      </c>
      <c r="I25" s="5" t="str">
        <f t="shared" ca="1" si="1"/>
        <v>Tidak</v>
      </c>
    </row>
    <row r="26" spans="1:9" x14ac:dyDescent="0.3">
      <c r="A26">
        <v>25</v>
      </c>
      <c r="B26" t="s">
        <v>362</v>
      </c>
      <c r="C26" t="s">
        <v>240</v>
      </c>
      <c r="D26" s="1">
        <v>44629</v>
      </c>
      <c r="E26" t="s">
        <v>36</v>
      </c>
      <c r="F26" s="5">
        <v>365</v>
      </c>
      <c r="G26" s="6">
        <f t="shared" ca="1" si="2"/>
        <v>46150</v>
      </c>
      <c r="H26" s="7">
        <f t="shared" ca="1" si="0"/>
        <v>1521</v>
      </c>
      <c r="I26" s="5" t="str">
        <f t="shared" ca="1" si="1"/>
        <v>Tidak</v>
      </c>
    </row>
    <row r="27" spans="1:9" x14ac:dyDescent="0.3">
      <c r="A27">
        <v>26</v>
      </c>
      <c r="B27" t="s">
        <v>361</v>
      </c>
      <c r="C27">
        <v>192</v>
      </c>
      <c r="D27" s="1">
        <v>44635</v>
      </c>
      <c r="E27" t="s">
        <v>83</v>
      </c>
      <c r="F27" s="5">
        <v>365</v>
      </c>
      <c r="G27" s="6">
        <f t="shared" ca="1" si="2"/>
        <v>46150</v>
      </c>
      <c r="H27" s="7">
        <f t="shared" ca="1" si="0"/>
        <v>1515</v>
      </c>
      <c r="I27" s="5" t="str">
        <f t="shared" ca="1" si="1"/>
        <v>Tidak</v>
      </c>
    </row>
    <row r="28" spans="1:9" x14ac:dyDescent="0.3">
      <c r="A28">
        <v>27</v>
      </c>
      <c r="B28" t="s">
        <v>364</v>
      </c>
      <c r="C28" t="s">
        <v>259</v>
      </c>
      <c r="D28" s="1">
        <v>44639</v>
      </c>
      <c r="E28" t="s">
        <v>57</v>
      </c>
      <c r="F28" s="5">
        <v>365</v>
      </c>
      <c r="G28" s="6">
        <f t="shared" ca="1" si="2"/>
        <v>46150</v>
      </c>
      <c r="H28" s="7">
        <f t="shared" ca="1" si="0"/>
        <v>1511</v>
      </c>
      <c r="I28" s="5" t="str">
        <f t="shared" ca="1" si="1"/>
        <v>Tidak</v>
      </c>
    </row>
    <row r="29" spans="1:9" x14ac:dyDescent="0.3">
      <c r="A29">
        <v>28</v>
      </c>
      <c r="B29" t="s">
        <v>362</v>
      </c>
      <c r="C29" t="s">
        <v>242</v>
      </c>
      <c r="D29" s="1">
        <v>44644</v>
      </c>
      <c r="E29" t="s">
        <v>39</v>
      </c>
      <c r="F29" s="5">
        <v>365</v>
      </c>
      <c r="G29" s="6">
        <f t="shared" ca="1" si="2"/>
        <v>46150</v>
      </c>
      <c r="H29" s="7">
        <f t="shared" ca="1" si="0"/>
        <v>1506</v>
      </c>
      <c r="I29" s="5" t="str">
        <f t="shared" ca="1" si="1"/>
        <v>Tidak</v>
      </c>
    </row>
    <row r="30" spans="1:9" x14ac:dyDescent="0.3">
      <c r="A30">
        <v>29</v>
      </c>
      <c r="B30" t="s">
        <v>362</v>
      </c>
      <c r="C30" t="s">
        <v>252</v>
      </c>
      <c r="D30" s="1">
        <v>44653</v>
      </c>
      <c r="E30" t="s">
        <v>49</v>
      </c>
      <c r="F30" s="5">
        <v>365</v>
      </c>
      <c r="G30" s="6">
        <f t="shared" ca="1" si="2"/>
        <v>46150</v>
      </c>
      <c r="H30" s="7">
        <f t="shared" ca="1" si="0"/>
        <v>1497</v>
      </c>
      <c r="I30" s="5" t="str">
        <f t="shared" ca="1" si="1"/>
        <v>Tidak</v>
      </c>
    </row>
    <row r="31" spans="1:9" x14ac:dyDescent="0.3">
      <c r="A31">
        <v>30</v>
      </c>
      <c r="B31" t="s">
        <v>367</v>
      </c>
      <c r="C31" t="s">
        <v>248</v>
      </c>
      <c r="D31" s="1">
        <v>44656</v>
      </c>
      <c r="E31" t="s">
        <v>45</v>
      </c>
      <c r="F31" s="5">
        <v>365</v>
      </c>
      <c r="G31" s="6">
        <f t="shared" ca="1" si="2"/>
        <v>46150</v>
      </c>
      <c r="H31" s="7">
        <f t="shared" ca="1" si="0"/>
        <v>1494</v>
      </c>
      <c r="I31" s="5" t="str">
        <f t="shared" ca="1" si="1"/>
        <v>Tidak</v>
      </c>
    </row>
    <row r="32" spans="1:9" x14ac:dyDescent="0.3">
      <c r="A32">
        <v>31</v>
      </c>
      <c r="B32" t="s">
        <v>364</v>
      </c>
      <c r="C32" t="s">
        <v>223</v>
      </c>
      <c r="D32" s="1">
        <v>44659</v>
      </c>
      <c r="E32" t="s">
        <v>18</v>
      </c>
      <c r="F32" s="5">
        <v>365</v>
      </c>
      <c r="G32" s="6">
        <f t="shared" ca="1" si="2"/>
        <v>46150</v>
      </c>
      <c r="H32" s="7">
        <f t="shared" ca="1" si="0"/>
        <v>1491</v>
      </c>
      <c r="I32" s="5" t="str">
        <f t="shared" ca="1" si="1"/>
        <v>Tidak</v>
      </c>
    </row>
    <row r="33" spans="1:9" x14ac:dyDescent="0.3">
      <c r="A33">
        <v>32</v>
      </c>
      <c r="B33" t="s">
        <v>368</v>
      </c>
      <c r="C33" t="s">
        <v>246</v>
      </c>
      <c r="D33" s="1">
        <v>44667</v>
      </c>
      <c r="E33" t="s">
        <v>43</v>
      </c>
      <c r="F33" s="5">
        <v>365</v>
      </c>
      <c r="G33" s="6">
        <f t="shared" ca="1" si="2"/>
        <v>46150</v>
      </c>
      <c r="H33" s="7">
        <f t="shared" ca="1" si="0"/>
        <v>1483</v>
      </c>
      <c r="I33" s="5" t="str">
        <f t="shared" ca="1" si="1"/>
        <v>Tidak</v>
      </c>
    </row>
    <row r="34" spans="1:9" x14ac:dyDescent="0.3">
      <c r="A34">
        <v>33</v>
      </c>
      <c r="B34" t="s">
        <v>361</v>
      </c>
      <c r="C34">
        <v>191</v>
      </c>
      <c r="D34" s="1">
        <v>44668</v>
      </c>
      <c r="E34" t="s">
        <v>80</v>
      </c>
      <c r="F34" s="5">
        <v>365</v>
      </c>
      <c r="G34" s="6">
        <f t="shared" ca="1" si="2"/>
        <v>46150</v>
      </c>
      <c r="H34" s="7">
        <f t="shared" ca="1" si="0"/>
        <v>1482</v>
      </c>
      <c r="I34" s="5" t="str">
        <f t="shared" ca="1" si="1"/>
        <v>Tidak</v>
      </c>
    </row>
    <row r="35" spans="1:9" x14ac:dyDescent="0.3">
      <c r="A35">
        <v>34</v>
      </c>
      <c r="B35" t="s">
        <v>362</v>
      </c>
      <c r="C35" t="s">
        <v>239</v>
      </c>
      <c r="D35" s="1">
        <v>44669</v>
      </c>
      <c r="E35" t="s">
        <v>35</v>
      </c>
      <c r="F35" s="5">
        <v>365</v>
      </c>
      <c r="G35" s="6">
        <f t="shared" ca="1" si="2"/>
        <v>46150</v>
      </c>
      <c r="H35" s="7">
        <f t="shared" ca="1" si="0"/>
        <v>1481</v>
      </c>
      <c r="I35" s="5" t="str">
        <f t="shared" ca="1" si="1"/>
        <v>Tidak</v>
      </c>
    </row>
    <row r="36" spans="1:9" x14ac:dyDescent="0.3">
      <c r="A36">
        <v>35</v>
      </c>
      <c r="B36" t="s">
        <v>362</v>
      </c>
      <c r="C36" t="s">
        <v>235</v>
      </c>
      <c r="D36" s="1">
        <v>44671</v>
      </c>
      <c r="E36" t="s">
        <v>30</v>
      </c>
      <c r="F36" s="5">
        <v>365</v>
      </c>
      <c r="G36" s="6">
        <f t="shared" ca="1" si="2"/>
        <v>46150</v>
      </c>
      <c r="H36" s="7">
        <f t="shared" ca="1" si="0"/>
        <v>1479</v>
      </c>
      <c r="I36" s="5" t="str">
        <f t="shared" ca="1" si="1"/>
        <v>Tidak</v>
      </c>
    </row>
    <row r="37" spans="1:9" x14ac:dyDescent="0.3">
      <c r="A37">
        <v>36</v>
      </c>
      <c r="B37" t="s">
        <v>361</v>
      </c>
      <c r="C37">
        <v>188</v>
      </c>
      <c r="D37" s="1">
        <v>44674</v>
      </c>
      <c r="E37" t="s">
        <v>62</v>
      </c>
      <c r="F37" s="5">
        <v>365</v>
      </c>
      <c r="G37" s="6">
        <f t="shared" ca="1" si="2"/>
        <v>46150</v>
      </c>
      <c r="H37" s="7">
        <f t="shared" ca="1" si="0"/>
        <v>1476</v>
      </c>
      <c r="I37" s="5" t="str">
        <f t="shared" ca="1" si="1"/>
        <v>Tidak</v>
      </c>
    </row>
    <row r="38" spans="1:9" x14ac:dyDescent="0.3">
      <c r="A38">
        <v>37</v>
      </c>
      <c r="B38" t="s">
        <v>367</v>
      </c>
      <c r="C38" t="s">
        <v>257</v>
      </c>
      <c r="D38" s="1">
        <v>44679</v>
      </c>
      <c r="E38" t="s">
        <v>54</v>
      </c>
      <c r="F38" s="5">
        <v>365</v>
      </c>
      <c r="G38" s="6">
        <f t="shared" ca="1" si="2"/>
        <v>46150</v>
      </c>
      <c r="H38" s="7">
        <f t="shared" ca="1" si="0"/>
        <v>1471</v>
      </c>
      <c r="I38" s="5" t="str">
        <f t="shared" ca="1" si="1"/>
        <v>Tidak</v>
      </c>
    </row>
    <row r="39" spans="1:9" x14ac:dyDescent="0.3">
      <c r="A39">
        <v>38</v>
      </c>
      <c r="B39" t="s">
        <v>363</v>
      </c>
      <c r="C39" t="s">
        <v>234</v>
      </c>
      <c r="D39" s="1">
        <v>44681</v>
      </c>
      <c r="E39" t="s">
        <v>29</v>
      </c>
      <c r="F39" s="5">
        <v>365</v>
      </c>
      <c r="G39" s="6">
        <f t="shared" ca="1" si="2"/>
        <v>46150</v>
      </c>
      <c r="H39" s="7">
        <f t="shared" ca="1" si="0"/>
        <v>1469</v>
      </c>
      <c r="I39" s="5" t="str">
        <f t="shared" ca="1" si="1"/>
        <v>Tidak</v>
      </c>
    </row>
    <row r="40" spans="1:9" x14ac:dyDescent="0.3">
      <c r="A40">
        <v>39</v>
      </c>
      <c r="B40" t="s">
        <v>367</v>
      </c>
      <c r="C40" t="s">
        <v>262</v>
      </c>
      <c r="D40" s="1">
        <v>44681</v>
      </c>
      <c r="E40" t="s">
        <v>60</v>
      </c>
      <c r="F40" s="5">
        <v>365</v>
      </c>
      <c r="G40" s="6">
        <f t="shared" ca="1" si="2"/>
        <v>46150</v>
      </c>
      <c r="H40" s="7">
        <f t="shared" ca="1" si="0"/>
        <v>1469</v>
      </c>
      <c r="I40" s="5" t="str">
        <f t="shared" ca="1" si="1"/>
        <v>Tidak</v>
      </c>
    </row>
    <row r="41" spans="1:9" x14ac:dyDescent="0.3">
      <c r="A41">
        <v>40</v>
      </c>
      <c r="B41" t="s">
        <v>365</v>
      </c>
      <c r="C41" t="s">
        <v>221</v>
      </c>
      <c r="D41" s="1">
        <v>44710</v>
      </c>
      <c r="E41" t="s">
        <v>31</v>
      </c>
      <c r="F41" s="5">
        <v>365</v>
      </c>
      <c r="G41" s="6">
        <f t="shared" ca="1" si="2"/>
        <v>46150</v>
      </c>
      <c r="H41" s="7">
        <f t="shared" ca="1" si="0"/>
        <v>1440</v>
      </c>
      <c r="I41" s="5" t="str">
        <f t="shared" ca="1" si="1"/>
        <v>Tidak</v>
      </c>
    </row>
    <row r="42" spans="1:9" x14ac:dyDescent="0.3">
      <c r="A42">
        <v>41</v>
      </c>
      <c r="B42" t="s">
        <v>362</v>
      </c>
      <c r="C42" t="s">
        <v>241</v>
      </c>
      <c r="D42" s="1">
        <v>44711</v>
      </c>
      <c r="E42" t="s">
        <v>37</v>
      </c>
      <c r="F42" s="5">
        <v>365</v>
      </c>
      <c r="G42" s="6">
        <f t="shared" ca="1" si="2"/>
        <v>46150</v>
      </c>
      <c r="H42" s="7">
        <f t="shared" ca="1" si="0"/>
        <v>1439</v>
      </c>
      <c r="I42" s="5" t="str">
        <f t="shared" ca="1" si="1"/>
        <v>Tidak</v>
      </c>
    </row>
    <row r="43" spans="1:9" x14ac:dyDescent="0.3">
      <c r="A43">
        <v>42</v>
      </c>
      <c r="B43" t="s">
        <v>367</v>
      </c>
      <c r="C43" t="s">
        <v>270</v>
      </c>
      <c r="D43" s="1">
        <v>44713</v>
      </c>
      <c r="E43" t="s">
        <v>67</v>
      </c>
      <c r="F43" s="5">
        <v>365</v>
      </c>
      <c r="G43" s="6">
        <f t="shared" ca="1" si="2"/>
        <v>46150</v>
      </c>
      <c r="H43" s="7">
        <f t="shared" ca="1" si="0"/>
        <v>1437</v>
      </c>
      <c r="I43" s="5" t="str">
        <f t="shared" ca="1" si="1"/>
        <v>Tidak</v>
      </c>
    </row>
    <row r="44" spans="1:9" x14ac:dyDescent="0.3">
      <c r="A44">
        <v>43</v>
      </c>
      <c r="B44" t="s">
        <v>362</v>
      </c>
      <c r="C44" t="s">
        <v>230</v>
      </c>
      <c r="D44" s="1">
        <v>44722</v>
      </c>
      <c r="E44" t="s">
        <v>25</v>
      </c>
      <c r="F44" s="5">
        <v>365</v>
      </c>
      <c r="G44" s="6">
        <f t="shared" ca="1" si="2"/>
        <v>46150</v>
      </c>
      <c r="H44" s="7">
        <f t="shared" ca="1" si="0"/>
        <v>1428</v>
      </c>
      <c r="I44" s="5" t="str">
        <f t="shared" ca="1" si="1"/>
        <v>Tidak</v>
      </c>
    </row>
    <row r="45" spans="1:9" x14ac:dyDescent="0.3">
      <c r="A45">
        <v>44</v>
      </c>
      <c r="B45" t="s">
        <v>365</v>
      </c>
      <c r="C45" t="s">
        <v>221</v>
      </c>
      <c r="D45" s="1">
        <v>44730</v>
      </c>
      <c r="E45" t="s">
        <v>16</v>
      </c>
      <c r="F45" s="5">
        <v>365</v>
      </c>
      <c r="G45" s="6">
        <f t="shared" ca="1" si="2"/>
        <v>46150</v>
      </c>
      <c r="H45" s="7">
        <f t="shared" ca="1" si="0"/>
        <v>1420</v>
      </c>
      <c r="I45" s="5" t="str">
        <f t="shared" ca="1" si="1"/>
        <v>Tidak</v>
      </c>
    </row>
    <row r="46" spans="1:9" x14ac:dyDescent="0.3">
      <c r="A46">
        <v>45</v>
      </c>
      <c r="B46" t="s">
        <v>362</v>
      </c>
      <c r="C46" t="s">
        <v>261</v>
      </c>
      <c r="D46" s="1">
        <v>44730</v>
      </c>
      <c r="E46" t="s">
        <v>59</v>
      </c>
      <c r="F46" s="5">
        <v>365</v>
      </c>
      <c r="G46" s="6">
        <f t="shared" ca="1" si="2"/>
        <v>46150</v>
      </c>
      <c r="H46" s="7">
        <f t="shared" ca="1" si="0"/>
        <v>1420</v>
      </c>
      <c r="I46" s="5" t="str">
        <f t="shared" ca="1" si="1"/>
        <v>Tidak</v>
      </c>
    </row>
    <row r="47" spans="1:9" x14ac:dyDescent="0.3">
      <c r="A47">
        <v>46</v>
      </c>
      <c r="B47" t="s">
        <v>362</v>
      </c>
      <c r="C47" t="s">
        <v>250</v>
      </c>
      <c r="D47" s="1">
        <v>44734</v>
      </c>
      <c r="E47" t="s">
        <v>47</v>
      </c>
      <c r="F47" s="5">
        <v>365</v>
      </c>
      <c r="G47" s="6">
        <f t="shared" ca="1" si="2"/>
        <v>46150</v>
      </c>
      <c r="H47" s="7">
        <f t="shared" ca="1" si="0"/>
        <v>1416</v>
      </c>
      <c r="I47" s="5" t="str">
        <f t="shared" ca="1" si="1"/>
        <v>Tidak</v>
      </c>
    </row>
    <row r="48" spans="1:9" x14ac:dyDescent="0.3">
      <c r="A48">
        <v>47</v>
      </c>
      <c r="B48" t="s">
        <v>367</v>
      </c>
      <c r="C48" t="s">
        <v>256</v>
      </c>
      <c r="D48" s="1">
        <v>44740</v>
      </c>
      <c r="E48" t="s">
        <v>53</v>
      </c>
      <c r="F48" s="5">
        <v>365</v>
      </c>
      <c r="G48" s="6">
        <f t="shared" ca="1" si="2"/>
        <v>46150</v>
      </c>
      <c r="H48" s="7">
        <f t="shared" ca="1" si="0"/>
        <v>1410</v>
      </c>
      <c r="I48" s="5" t="str">
        <f t="shared" ca="1" si="1"/>
        <v>Tidak</v>
      </c>
    </row>
    <row r="49" spans="1:9" x14ac:dyDescent="0.3">
      <c r="A49">
        <v>48</v>
      </c>
      <c r="B49" t="s">
        <v>369</v>
      </c>
      <c r="C49" t="s">
        <v>263</v>
      </c>
      <c r="D49" s="1">
        <v>44740</v>
      </c>
      <c r="E49" t="s">
        <v>61</v>
      </c>
      <c r="F49" s="5">
        <v>365</v>
      </c>
      <c r="G49" s="6">
        <f t="shared" ca="1" si="2"/>
        <v>46150</v>
      </c>
      <c r="H49" s="7">
        <f t="shared" ca="1" si="0"/>
        <v>1410</v>
      </c>
      <c r="I49" s="5" t="str">
        <f t="shared" ca="1" si="1"/>
        <v>Tidak</v>
      </c>
    </row>
    <row r="50" spans="1:9" x14ac:dyDescent="0.3">
      <c r="A50">
        <v>49</v>
      </c>
      <c r="B50" t="s">
        <v>364</v>
      </c>
      <c r="C50" t="s">
        <v>218</v>
      </c>
      <c r="D50" s="1">
        <v>44749</v>
      </c>
      <c r="E50" t="s">
        <v>13</v>
      </c>
      <c r="F50" s="5">
        <v>365</v>
      </c>
      <c r="G50" s="6">
        <f t="shared" ca="1" si="2"/>
        <v>46150</v>
      </c>
      <c r="H50" s="7">
        <f t="shared" ca="1" si="0"/>
        <v>1401</v>
      </c>
      <c r="I50" s="5" t="str">
        <f t="shared" ca="1" si="1"/>
        <v>Tidak</v>
      </c>
    </row>
    <row r="51" spans="1:9" x14ac:dyDescent="0.3">
      <c r="A51">
        <v>50</v>
      </c>
      <c r="B51" t="s">
        <v>368</v>
      </c>
      <c r="C51" t="s">
        <v>271</v>
      </c>
      <c r="D51" s="1">
        <v>44753</v>
      </c>
      <c r="E51" t="s">
        <v>68</v>
      </c>
      <c r="F51" s="5">
        <v>365</v>
      </c>
      <c r="G51" s="6">
        <f t="shared" ca="1" si="2"/>
        <v>46150</v>
      </c>
      <c r="H51" s="7">
        <f t="shared" ca="1" si="0"/>
        <v>1397</v>
      </c>
      <c r="I51" s="5" t="str">
        <f t="shared" ca="1" si="1"/>
        <v>Tidak</v>
      </c>
    </row>
    <row r="52" spans="1:9" x14ac:dyDescent="0.3">
      <c r="A52">
        <v>51</v>
      </c>
      <c r="B52" t="s">
        <v>362</v>
      </c>
      <c r="C52" t="s">
        <v>268</v>
      </c>
      <c r="D52" s="1">
        <v>44754</v>
      </c>
      <c r="E52" t="s">
        <v>65</v>
      </c>
      <c r="F52" s="5">
        <v>365</v>
      </c>
      <c r="G52" s="6">
        <f t="shared" ca="1" si="2"/>
        <v>46150</v>
      </c>
      <c r="H52" s="7">
        <f t="shared" ca="1" si="0"/>
        <v>1396</v>
      </c>
      <c r="I52" s="5" t="str">
        <f t="shared" ca="1" si="1"/>
        <v>Tidak</v>
      </c>
    </row>
    <row r="53" spans="1:9" x14ac:dyDescent="0.3">
      <c r="A53">
        <v>52</v>
      </c>
      <c r="B53" t="s">
        <v>371</v>
      </c>
      <c r="C53" t="s">
        <v>281</v>
      </c>
      <c r="D53" s="1">
        <v>44757</v>
      </c>
      <c r="E53" t="s">
        <v>81</v>
      </c>
      <c r="F53" s="5">
        <v>365</v>
      </c>
      <c r="G53" s="6">
        <f t="shared" ca="1" si="2"/>
        <v>46150</v>
      </c>
      <c r="H53" s="7">
        <f t="shared" ca="1" si="0"/>
        <v>1393</v>
      </c>
      <c r="I53" s="5" t="str">
        <f t="shared" ca="1" si="1"/>
        <v>Tidak</v>
      </c>
    </row>
    <row r="54" spans="1:9" x14ac:dyDescent="0.3">
      <c r="A54">
        <v>53</v>
      </c>
      <c r="B54" t="s">
        <v>363</v>
      </c>
      <c r="C54" t="s">
        <v>274</v>
      </c>
      <c r="D54" s="1">
        <v>44764</v>
      </c>
      <c r="E54" t="s">
        <v>72</v>
      </c>
      <c r="F54" s="5">
        <v>365</v>
      </c>
      <c r="G54" s="6">
        <f t="shared" ca="1" si="2"/>
        <v>46150</v>
      </c>
      <c r="H54" s="7">
        <f t="shared" ca="1" si="0"/>
        <v>1386</v>
      </c>
      <c r="I54" s="5" t="str">
        <f t="shared" ca="1" si="1"/>
        <v>Tidak</v>
      </c>
    </row>
    <row r="55" spans="1:9" x14ac:dyDescent="0.3">
      <c r="A55">
        <v>54</v>
      </c>
      <c r="B55" t="s">
        <v>370</v>
      </c>
      <c r="C55" t="s">
        <v>276</v>
      </c>
      <c r="D55" s="1">
        <v>44764</v>
      </c>
      <c r="E55" t="s">
        <v>74</v>
      </c>
      <c r="F55" s="5">
        <v>365</v>
      </c>
      <c r="G55" s="6">
        <f t="shared" ca="1" si="2"/>
        <v>46150</v>
      </c>
      <c r="H55" s="7">
        <f t="shared" ca="1" si="0"/>
        <v>1386</v>
      </c>
      <c r="I55" s="5" t="str">
        <f t="shared" ca="1" si="1"/>
        <v>Tidak</v>
      </c>
    </row>
    <row r="56" spans="1:9" x14ac:dyDescent="0.3">
      <c r="A56">
        <v>320</v>
      </c>
      <c r="B56" t="s">
        <v>368</v>
      </c>
      <c r="C56" t="s">
        <v>596</v>
      </c>
      <c r="D56" s="1">
        <v>44764</v>
      </c>
      <c r="E56" t="s">
        <v>599</v>
      </c>
      <c r="F56" s="5">
        <v>365</v>
      </c>
      <c r="G56" s="6">
        <f t="shared" ca="1" si="2"/>
        <v>46150</v>
      </c>
      <c r="H56" s="7">
        <f t="shared" ca="1" si="0"/>
        <v>1386</v>
      </c>
      <c r="I56" s="5" t="str">
        <f t="shared" ca="1" si="1"/>
        <v>Tidak</v>
      </c>
    </row>
    <row r="57" spans="1:9" x14ac:dyDescent="0.3">
      <c r="A57">
        <v>55</v>
      </c>
      <c r="B57" t="s">
        <v>364</v>
      </c>
      <c r="C57" t="s">
        <v>260</v>
      </c>
      <c r="D57" s="1">
        <v>44765</v>
      </c>
      <c r="E57" t="s">
        <v>58</v>
      </c>
      <c r="F57" s="5">
        <v>365</v>
      </c>
      <c r="G57" s="6">
        <f t="shared" ca="1" si="2"/>
        <v>46150</v>
      </c>
      <c r="H57" s="7">
        <f t="shared" ca="1" si="0"/>
        <v>1385</v>
      </c>
      <c r="I57" s="5" t="str">
        <f t="shared" ca="1" si="1"/>
        <v>Tidak</v>
      </c>
    </row>
    <row r="58" spans="1:9" x14ac:dyDescent="0.3">
      <c r="A58">
        <v>56</v>
      </c>
      <c r="B58" t="s">
        <v>362</v>
      </c>
      <c r="C58" t="s">
        <v>266</v>
      </c>
      <c r="D58" s="1">
        <v>44766</v>
      </c>
      <c r="E58" t="s">
        <v>64</v>
      </c>
      <c r="F58" s="5">
        <v>365</v>
      </c>
      <c r="G58" s="6">
        <f t="shared" ca="1" si="2"/>
        <v>46150</v>
      </c>
      <c r="H58" s="7">
        <f t="shared" ca="1" si="0"/>
        <v>1384</v>
      </c>
      <c r="I58" s="5" t="str">
        <f t="shared" ca="1" si="1"/>
        <v>Tidak</v>
      </c>
    </row>
    <row r="59" spans="1:9" x14ac:dyDescent="0.3">
      <c r="A59">
        <v>57</v>
      </c>
      <c r="B59" t="s">
        <v>365</v>
      </c>
      <c r="C59" t="s">
        <v>232</v>
      </c>
      <c r="D59" s="1">
        <v>44772</v>
      </c>
      <c r="E59" t="s">
        <v>27</v>
      </c>
      <c r="F59" s="5">
        <v>365</v>
      </c>
      <c r="G59" s="6">
        <f t="shared" ca="1" si="2"/>
        <v>46150</v>
      </c>
      <c r="H59" s="7">
        <f t="shared" ca="1" si="0"/>
        <v>1378</v>
      </c>
      <c r="I59" s="5" t="str">
        <f t="shared" ca="1" si="1"/>
        <v>Tidak</v>
      </c>
    </row>
    <row r="60" spans="1:9" x14ac:dyDescent="0.3">
      <c r="A60">
        <v>58</v>
      </c>
      <c r="B60" t="s">
        <v>364</v>
      </c>
      <c r="C60" t="s">
        <v>238</v>
      </c>
      <c r="D60" s="1">
        <v>44776</v>
      </c>
      <c r="E60" t="s">
        <v>34</v>
      </c>
      <c r="F60" s="5">
        <v>365</v>
      </c>
      <c r="G60" s="6">
        <f t="shared" ca="1" si="2"/>
        <v>46150</v>
      </c>
      <c r="H60" s="7">
        <f t="shared" ca="1" si="0"/>
        <v>1374</v>
      </c>
      <c r="I60" s="5" t="str">
        <f t="shared" ca="1" si="1"/>
        <v>Tidak</v>
      </c>
    </row>
    <row r="61" spans="1:9" x14ac:dyDescent="0.3">
      <c r="A61">
        <v>59</v>
      </c>
      <c r="B61" t="s">
        <v>361</v>
      </c>
      <c r="C61">
        <v>190</v>
      </c>
      <c r="D61" s="1">
        <v>44777</v>
      </c>
      <c r="E61" t="s">
        <v>71</v>
      </c>
      <c r="F61" s="5">
        <v>365</v>
      </c>
      <c r="G61" s="6">
        <f t="shared" ca="1" si="2"/>
        <v>46150</v>
      </c>
      <c r="H61" s="7">
        <f t="shared" ca="1" si="0"/>
        <v>1373</v>
      </c>
      <c r="I61" s="5" t="str">
        <f t="shared" ca="1" si="1"/>
        <v>Tidak</v>
      </c>
    </row>
    <row r="62" spans="1:9" x14ac:dyDescent="0.3">
      <c r="A62">
        <v>60</v>
      </c>
      <c r="B62" t="s">
        <v>361</v>
      </c>
      <c r="C62" t="s">
        <v>207</v>
      </c>
      <c r="D62" s="1">
        <v>44781</v>
      </c>
      <c r="E62" t="s">
        <v>425</v>
      </c>
      <c r="F62" s="5">
        <v>365</v>
      </c>
      <c r="G62" s="6">
        <f t="shared" ca="1" si="2"/>
        <v>46150</v>
      </c>
      <c r="H62" s="7">
        <f t="shared" ca="1" si="0"/>
        <v>1369</v>
      </c>
      <c r="I62" s="5" t="str">
        <f t="shared" ca="1" si="1"/>
        <v>Tidak</v>
      </c>
    </row>
    <row r="63" spans="1:9" x14ac:dyDescent="0.3">
      <c r="A63">
        <v>61</v>
      </c>
      <c r="B63" t="s">
        <v>361</v>
      </c>
      <c r="C63" t="s">
        <v>282</v>
      </c>
      <c r="D63" s="1">
        <v>44781</v>
      </c>
      <c r="E63" t="s">
        <v>82</v>
      </c>
      <c r="F63" s="5">
        <v>365</v>
      </c>
      <c r="G63" s="6">
        <f t="shared" ca="1" si="2"/>
        <v>46150</v>
      </c>
      <c r="H63" s="7">
        <f t="shared" ca="1" si="0"/>
        <v>1369</v>
      </c>
      <c r="I63" s="5" t="str">
        <f t="shared" ca="1" si="1"/>
        <v>Tidak</v>
      </c>
    </row>
    <row r="64" spans="1:9" x14ac:dyDescent="0.3">
      <c r="A64">
        <v>62</v>
      </c>
      <c r="B64" t="s">
        <v>368</v>
      </c>
      <c r="C64" t="s">
        <v>283</v>
      </c>
      <c r="D64" s="1">
        <v>44785</v>
      </c>
      <c r="E64" t="s">
        <v>84</v>
      </c>
      <c r="F64" s="5">
        <v>365</v>
      </c>
      <c r="G64" s="6">
        <f t="shared" ca="1" si="2"/>
        <v>46150</v>
      </c>
      <c r="H64" s="7">
        <f t="shared" ca="1" si="0"/>
        <v>1365</v>
      </c>
      <c r="I64" s="5" t="str">
        <f t="shared" ca="1" si="1"/>
        <v>Tidak</v>
      </c>
    </row>
    <row r="65" spans="1:9" x14ac:dyDescent="0.3">
      <c r="A65">
        <v>63</v>
      </c>
      <c r="B65" t="s">
        <v>366</v>
      </c>
      <c r="C65">
        <v>189</v>
      </c>
      <c r="D65" s="1">
        <v>44787</v>
      </c>
      <c r="E65" t="s">
        <v>38</v>
      </c>
      <c r="F65" s="5">
        <v>365</v>
      </c>
      <c r="G65" s="6">
        <f t="shared" ca="1" si="2"/>
        <v>46150</v>
      </c>
      <c r="H65" s="7">
        <f t="shared" ca="1" si="0"/>
        <v>1363</v>
      </c>
      <c r="I65" s="5" t="str">
        <f t="shared" ca="1" si="1"/>
        <v>Tidak</v>
      </c>
    </row>
    <row r="66" spans="1:9" x14ac:dyDescent="0.3">
      <c r="A66">
        <v>64</v>
      </c>
      <c r="B66" t="s">
        <v>368</v>
      </c>
      <c r="C66" t="s">
        <v>289</v>
      </c>
      <c r="D66" s="1">
        <v>44797</v>
      </c>
      <c r="E66" t="s">
        <v>90</v>
      </c>
      <c r="F66" s="5">
        <v>365</v>
      </c>
      <c r="G66" s="6">
        <f t="shared" ca="1" si="2"/>
        <v>46150</v>
      </c>
      <c r="H66" s="7">
        <f t="shared" ref="H66:H129" ca="1" si="3">G66-D66</f>
        <v>1353</v>
      </c>
      <c r="I66" s="5" t="str">
        <f t="shared" ref="I66:I129" ca="1" si="4">IF(H66&gt;F66,"Tidak","Garansi")</f>
        <v>Tidak</v>
      </c>
    </row>
    <row r="67" spans="1:9" x14ac:dyDescent="0.3">
      <c r="A67">
        <v>65</v>
      </c>
      <c r="B67" t="s">
        <v>362</v>
      </c>
      <c r="C67" t="s">
        <v>233</v>
      </c>
      <c r="D67" s="1">
        <v>44803</v>
      </c>
      <c r="E67" t="s">
        <v>28</v>
      </c>
      <c r="F67" s="5">
        <v>365</v>
      </c>
      <c r="G67" s="6">
        <f t="shared" ref="G67:G130" ca="1" si="5">TODAY()</f>
        <v>46150</v>
      </c>
      <c r="H67" s="7">
        <f t="shared" ca="1" si="3"/>
        <v>1347</v>
      </c>
      <c r="I67" s="5" t="str">
        <f t="shared" ca="1" si="4"/>
        <v>Tidak</v>
      </c>
    </row>
    <row r="68" spans="1:9" x14ac:dyDescent="0.3">
      <c r="A68">
        <v>66</v>
      </c>
      <c r="B68" t="s">
        <v>368</v>
      </c>
      <c r="C68" t="s">
        <v>273</v>
      </c>
      <c r="D68" s="1">
        <v>44807</v>
      </c>
      <c r="E68" t="s">
        <v>70</v>
      </c>
      <c r="F68" s="5">
        <v>365</v>
      </c>
      <c r="G68" s="6">
        <f t="shared" ca="1" si="5"/>
        <v>46150</v>
      </c>
      <c r="H68" s="7">
        <f t="shared" ca="1" si="3"/>
        <v>1343</v>
      </c>
      <c r="I68" s="5" t="str">
        <f t="shared" ca="1" si="4"/>
        <v>Tidak</v>
      </c>
    </row>
    <row r="69" spans="1:9" x14ac:dyDescent="0.3">
      <c r="A69">
        <v>67</v>
      </c>
      <c r="B69" t="s">
        <v>368</v>
      </c>
      <c r="C69" t="s">
        <v>287</v>
      </c>
      <c r="D69" s="1">
        <v>44807</v>
      </c>
      <c r="E69" t="s">
        <v>88</v>
      </c>
      <c r="F69" s="5">
        <v>365</v>
      </c>
      <c r="G69" s="6">
        <f t="shared" ca="1" si="5"/>
        <v>46150</v>
      </c>
      <c r="H69" s="7">
        <f t="shared" ca="1" si="3"/>
        <v>1343</v>
      </c>
      <c r="I69" s="5" t="str">
        <f t="shared" ca="1" si="4"/>
        <v>Tidak</v>
      </c>
    </row>
    <row r="70" spans="1:9" x14ac:dyDescent="0.3">
      <c r="A70">
        <v>68</v>
      </c>
      <c r="B70" t="s">
        <v>367</v>
      </c>
      <c r="C70" t="s">
        <v>253</v>
      </c>
      <c r="D70" s="1">
        <v>44818</v>
      </c>
      <c r="E70" t="s">
        <v>50</v>
      </c>
      <c r="F70" s="5">
        <v>365</v>
      </c>
      <c r="G70" s="6">
        <f t="shared" ca="1" si="5"/>
        <v>46150</v>
      </c>
      <c r="H70" s="7">
        <f t="shared" ca="1" si="3"/>
        <v>1332</v>
      </c>
      <c r="I70" s="5" t="str">
        <f t="shared" ca="1" si="4"/>
        <v>Tidak</v>
      </c>
    </row>
    <row r="71" spans="1:9" x14ac:dyDescent="0.3">
      <c r="A71">
        <v>69</v>
      </c>
      <c r="B71" t="s">
        <v>367</v>
      </c>
      <c r="C71" t="s">
        <v>290</v>
      </c>
      <c r="D71" s="1">
        <v>44818</v>
      </c>
      <c r="E71" t="s">
        <v>91</v>
      </c>
      <c r="F71" s="5">
        <v>365</v>
      </c>
      <c r="G71" s="6">
        <f t="shared" ca="1" si="5"/>
        <v>46150</v>
      </c>
      <c r="H71" s="7">
        <f t="shared" ca="1" si="3"/>
        <v>1332</v>
      </c>
      <c r="I71" s="5" t="str">
        <f t="shared" ca="1" si="4"/>
        <v>Tidak</v>
      </c>
    </row>
    <row r="72" spans="1:9" x14ac:dyDescent="0.3">
      <c r="A72">
        <v>70</v>
      </c>
      <c r="B72" t="s">
        <v>362</v>
      </c>
      <c r="C72" t="s">
        <v>220</v>
      </c>
      <c r="D72" s="1">
        <v>44827</v>
      </c>
      <c r="E72" t="s">
        <v>15</v>
      </c>
      <c r="F72" s="5">
        <v>365</v>
      </c>
      <c r="G72" s="6">
        <f t="shared" ca="1" si="5"/>
        <v>46150</v>
      </c>
      <c r="H72" s="7">
        <f t="shared" ca="1" si="3"/>
        <v>1323</v>
      </c>
      <c r="I72" s="5" t="str">
        <f t="shared" ca="1" si="4"/>
        <v>Tidak</v>
      </c>
    </row>
    <row r="73" spans="1:9" x14ac:dyDescent="0.3">
      <c r="A73">
        <v>71</v>
      </c>
      <c r="B73" t="s">
        <v>368</v>
      </c>
      <c r="C73" t="s">
        <v>264</v>
      </c>
      <c r="D73" s="1">
        <v>44835</v>
      </c>
      <c r="E73" t="s">
        <v>62</v>
      </c>
      <c r="F73" s="5">
        <v>365</v>
      </c>
      <c r="G73" s="6">
        <f t="shared" ca="1" si="5"/>
        <v>46150</v>
      </c>
      <c r="H73" s="7">
        <f t="shared" ca="1" si="3"/>
        <v>1315</v>
      </c>
      <c r="I73" s="5" t="str">
        <f t="shared" ca="1" si="4"/>
        <v>Tidak</v>
      </c>
    </row>
    <row r="74" spans="1:9" x14ac:dyDescent="0.3">
      <c r="A74">
        <v>72</v>
      </c>
      <c r="B74" t="s">
        <v>368</v>
      </c>
      <c r="C74" t="s">
        <v>285</v>
      </c>
      <c r="D74" s="1">
        <v>44837</v>
      </c>
      <c r="E74" t="s">
        <v>86</v>
      </c>
      <c r="F74" s="5">
        <v>365</v>
      </c>
      <c r="G74" s="6">
        <f t="shared" ca="1" si="5"/>
        <v>46150</v>
      </c>
      <c r="H74" s="7">
        <f t="shared" ca="1" si="3"/>
        <v>1313</v>
      </c>
      <c r="I74" s="5" t="str">
        <f t="shared" ca="1" si="4"/>
        <v>Tidak</v>
      </c>
    </row>
    <row r="75" spans="1:9" x14ac:dyDescent="0.3">
      <c r="A75">
        <v>73</v>
      </c>
      <c r="B75" t="s">
        <v>367</v>
      </c>
      <c r="C75" t="s">
        <v>295</v>
      </c>
      <c r="D75" s="1">
        <v>44838</v>
      </c>
      <c r="E75" t="s">
        <v>95</v>
      </c>
      <c r="F75" s="5">
        <v>365</v>
      </c>
      <c r="G75" s="6">
        <f t="shared" ca="1" si="5"/>
        <v>46150</v>
      </c>
      <c r="H75" s="7">
        <f t="shared" ca="1" si="3"/>
        <v>1312</v>
      </c>
      <c r="I75" s="5" t="str">
        <f t="shared" ca="1" si="4"/>
        <v>Tidak</v>
      </c>
    </row>
    <row r="76" spans="1:9" x14ac:dyDescent="0.3">
      <c r="A76">
        <v>74</v>
      </c>
      <c r="B76" t="s">
        <v>362</v>
      </c>
      <c r="C76" t="s">
        <v>231</v>
      </c>
      <c r="D76" s="1">
        <v>44845</v>
      </c>
      <c r="E76" t="s">
        <v>26</v>
      </c>
      <c r="F76" s="5">
        <v>365</v>
      </c>
      <c r="G76" s="6">
        <f t="shared" ca="1" si="5"/>
        <v>46150</v>
      </c>
      <c r="H76" s="7">
        <f t="shared" ca="1" si="3"/>
        <v>1305</v>
      </c>
      <c r="I76" s="5" t="str">
        <f t="shared" ca="1" si="4"/>
        <v>Tidak</v>
      </c>
    </row>
    <row r="77" spans="1:9" x14ac:dyDescent="0.3">
      <c r="A77">
        <v>75</v>
      </c>
      <c r="B77" t="s">
        <v>371</v>
      </c>
      <c r="C77" t="s">
        <v>278</v>
      </c>
      <c r="D77" s="1">
        <v>44856</v>
      </c>
      <c r="E77" t="s">
        <v>76</v>
      </c>
      <c r="F77" s="5">
        <v>365</v>
      </c>
      <c r="G77" s="6">
        <f t="shared" ca="1" si="5"/>
        <v>46150</v>
      </c>
      <c r="H77" s="7">
        <f t="shared" ca="1" si="3"/>
        <v>1294</v>
      </c>
      <c r="I77" s="5" t="str">
        <f t="shared" ca="1" si="4"/>
        <v>Tidak</v>
      </c>
    </row>
    <row r="78" spans="1:9" x14ac:dyDescent="0.3">
      <c r="A78">
        <v>76</v>
      </c>
      <c r="B78" t="s">
        <v>365</v>
      </c>
      <c r="C78" t="s">
        <v>251</v>
      </c>
      <c r="D78" s="1">
        <v>44864</v>
      </c>
      <c r="E78" t="s">
        <v>48</v>
      </c>
      <c r="F78" s="5">
        <v>365</v>
      </c>
      <c r="G78" s="6">
        <f t="shared" ca="1" si="5"/>
        <v>46150</v>
      </c>
      <c r="H78" s="7">
        <f t="shared" ca="1" si="3"/>
        <v>1286</v>
      </c>
      <c r="I78" s="5" t="str">
        <f t="shared" ca="1" si="4"/>
        <v>Tidak</v>
      </c>
    </row>
    <row r="79" spans="1:9" x14ac:dyDescent="0.3">
      <c r="A79">
        <v>77</v>
      </c>
      <c r="B79" t="s">
        <v>363</v>
      </c>
      <c r="C79" t="s">
        <v>272</v>
      </c>
      <c r="D79" s="1">
        <v>44865</v>
      </c>
      <c r="E79" t="s">
        <v>69</v>
      </c>
      <c r="F79" s="5">
        <v>365</v>
      </c>
      <c r="G79" s="6">
        <f t="shared" ca="1" si="5"/>
        <v>46150</v>
      </c>
      <c r="H79" s="7">
        <f t="shared" ca="1" si="3"/>
        <v>1285</v>
      </c>
      <c r="I79" s="5" t="str">
        <f t="shared" ca="1" si="4"/>
        <v>Tidak</v>
      </c>
    </row>
    <row r="80" spans="1:9" x14ac:dyDescent="0.3">
      <c r="A80">
        <v>78</v>
      </c>
      <c r="B80" t="s">
        <v>367</v>
      </c>
      <c r="C80" t="s">
        <v>277</v>
      </c>
      <c r="D80" s="1">
        <v>44872</v>
      </c>
      <c r="E80" t="s">
        <v>75</v>
      </c>
      <c r="F80" s="5">
        <v>365</v>
      </c>
      <c r="G80" s="6">
        <f t="shared" ca="1" si="5"/>
        <v>46150</v>
      </c>
      <c r="H80" s="7">
        <f t="shared" ca="1" si="3"/>
        <v>1278</v>
      </c>
      <c r="I80" s="5" t="str">
        <f t="shared" ca="1" si="4"/>
        <v>Tidak</v>
      </c>
    </row>
    <row r="81" spans="1:9" x14ac:dyDescent="0.3">
      <c r="A81">
        <v>79</v>
      </c>
      <c r="B81" t="s">
        <v>368</v>
      </c>
      <c r="C81" t="s">
        <v>284</v>
      </c>
      <c r="D81" s="1">
        <v>44891</v>
      </c>
      <c r="E81" t="s">
        <v>85</v>
      </c>
      <c r="F81" s="5">
        <v>365</v>
      </c>
      <c r="G81" s="6">
        <f t="shared" ca="1" si="5"/>
        <v>46150</v>
      </c>
      <c r="H81" s="7">
        <f t="shared" ca="1" si="3"/>
        <v>1259</v>
      </c>
      <c r="I81" s="5" t="str">
        <f t="shared" ca="1" si="4"/>
        <v>Tidak</v>
      </c>
    </row>
    <row r="82" spans="1:9" x14ac:dyDescent="0.3">
      <c r="A82">
        <v>80</v>
      </c>
      <c r="B82" t="s">
        <v>372</v>
      </c>
      <c r="C82" t="s">
        <v>335</v>
      </c>
      <c r="D82" s="1">
        <v>44895</v>
      </c>
      <c r="E82" t="s">
        <v>138</v>
      </c>
      <c r="F82" s="5">
        <v>365</v>
      </c>
      <c r="G82" s="6">
        <f t="shared" ca="1" si="5"/>
        <v>46150</v>
      </c>
      <c r="H82" s="7">
        <f t="shared" ca="1" si="3"/>
        <v>1255</v>
      </c>
      <c r="I82" s="5" t="str">
        <f t="shared" ca="1" si="4"/>
        <v>Tidak</v>
      </c>
    </row>
    <row r="83" spans="1:9" x14ac:dyDescent="0.3">
      <c r="A83">
        <v>81</v>
      </c>
      <c r="B83" t="s">
        <v>364</v>
      </c>
      <c r="C83" t="s">
        <v>299</v>
      </c>
      <c r="D83" s="1">
        <v>44896</v>
      </c>
      <c r="E83" t="s">
        <v>99</v>
      </c>
      <c r="F83" s="5">
        <v>365</v>
      </c>
      <c r="G83" s="6">
        <f t="shared" ca="1" si="5"/>
        <v>46150</v>
      </c>
      <c r="H83" s="7">
        <f t="shared" ca="1" si="3"/>
        <v>1254</v>
      </c>
      <c r="I83" s="5" t="str">
        <f t="shared" ca="1" si="4"/>
        <v>Tidak</v>
      </c>
    </row>
    <row r="84" spans="1:9" x14ac:dyDescent="0.3">
      <c r="A84">
        <v>82</v>
      </c>
      <c r="B84" t="s">
        <v>367</v>
      </c>
      <c r="C84" t="s">
        <v>296</v>
      </c>
      <c r="D84" s="1">
        <v>44912</v>
      </c>
      <c r="E84" t="s">
        <v>96</v>
      </c>
      <c r="F84" s="5">
        <v>365</v>
      </c>
      <c r="G84" s="6">
        <f t="shared" ca="1" si="5"/>
        <v>46150</v>
      </c>
      <c r="H84" s="7">
        <f t="shared" ca="1" si="3"/>
        <v>1238</v>
      </c>
      <c r="I84" s="5" t="str">
        <f t="shared" ca="1" si="4"/>
        <v>Tidak</v>
      </c>
    </row>
    <row r="85" spans="1:9" x14ac:dyDescent="0.3">
      <c r="A85">
        <v>83</v>
      </c>
      <c r="B85" t="s">
        <v>368</v>
      </c>
      <c r="C85" t="s">
        <v>294</v>
      </c>
      <c r="D85" s="1">
        <v>44937</v>
      </c>
      <c r="E85" t="s">
        <v>426</v>
      </c>
      <c r="F85" s="5">
        <v>365</v>
      </c>
      <c r="G85" s="6">
        <f t="shared" ca="1" si="5"/>
        <v>46150</v>
      </c>
      <c r="H85" s="7">
        <f t="shared" ca="1" si="3"/>
        <v>1213</v>
      </c>
      <c r="I85" s="5" t="str">
        <f t="shared" ca="1" si="4"/>
        <v>Tidak</v>
      </c>
    </row>
    <row r="86" spans="1:9" x14ac:dyDescent="0.3">
      <c r="A86">
        <v>84</v>
      </c>
      <c r="B86" t="s">
        <v>370</v>
      </c>
      <c r="C86" t="s">
        <v>291</v>
      </c>
      <c r="D86" s="1">
        <v>44954</v>
      </c>
      <c r="E86" t="s">
        <v>92</v>
      </c>
      <c r="F86" s="5">
        <v>365</v>
      </c>
      <c r="G86" s="6">
        <f t="shared" ca="1" si="5"/>
        <v>46150</v>
      </c>
      <c r="H86" s="7">
        <f t="shared" ca="1" si="3"/>
        <v>1196</v>
      </c>
      <c r="I86" s="5" t="str">
        <f t="shared" ca="1" si="4"/>
        <v>Tidak</v>
      </c>
    </row>
    <row r="87" spans="1:9" x14ac:dyDescent="0.3">
      <c r="A87">
        <v>85</v>
      </c>
      <c r="B87" t="s">
        <v>370</v>
      </c>
      <c r="C87" t="s">
        <v>292</v>
      </c>
      <c r="D87" s="1">
        <v>44963</v>
      </c>
      <c r="E87" t="s">
        <v>93</v>
      </c>
      <c r="F87" s="5">
        <v>365</v>
      </c>
      <c r="G87" s="6">
        <f t="shared" ca="1" si="5"/>
        <v>46150</v>
      </c>
      <c r="H87" s="7">
        <f t="shared" ca="1" si="3"/>
        <v>1187</v>
      </c>
      <c r="I87" s="5" t="str">
        <f t="shared" ca="1" si="4"/>
        <v>Tidak</v>
      </c>
    </row>
    <row r="88" spans="1:9" x14ac:dyDescent="0.3">
      <c r="A88">
        <v>86</v>
      </c>
      <c r="B88" t="s">
        <v>380</v>
      </c>
      <c r="C88" t="s">
        <v>315</v>
      </c>
      <c r="D88" s="1">
        <v>44967</v>
      </c>
      <c r="E88" t="s">
        <v>115</v>
      </c>
      <c r="F88" s="5">
        <v>365</v>
      </c>
      <c r="G88" s="6">
        <f t="shared" ca="1" si="5"/>
        <v>46150</v>
      </c>
      <c r="H88" s="7">
        <f t="shared" ca="1" si="3"/>
        <v>1183</v>
      </c>
      <c r="I88" s="5" t="str">
        <f t="shared" ca="1" si="4"/>
        <v>Tidak</v>
      </c>
    </row>
    <row r="89" spans="1:9" x14ac:dyDescent="0.3">
      <c r="A89">
        <v>87</v>
      </c>
      <c r="B89" t="s">
        <v>367</v>
      </c>
      <c r="C89" t="s">
        <v>301</v>
      </c>
      <c r="D89" s="1">
        <v>44968</v>
      </c>
      <c r="E89" t="s">
        <v>101</v>
      </c>
      <c r="F89" s="5">
        <v>365</v>
      </c>
      <c r="G89" s="6">
        <f t="shared" ca="1" si="5"/>
        <v>46150</v>
      </c>
      <c r="H89" s="7">
        <f t="shared" ca="1" si="3"/>
        <v>1182</v>
      </c>
      <c r="I89" s="5" t="str">
        <f t="shared" ca="1" si="4"/>
        <v>Tidak</v>
      </c>
    </row>
    <row r="90" spans="1:9" x14ac:dyDescent="0.3">
      <c r="A90">
        <v>88</v>
      </c>
      <c r="B90" t="s">
        <v>377</v>
      </c>
      <c r="C90" t="s">
        <v>307</v>
      </c>
      <c r="D90" s="1">
        <v>44979</v>
      </c>
      <c r="E90" t="s">
        <v>107</v>
      </c>
      <c r="F90" s="5">
        <v>365</v>
      </c>
      <c r="G90" s="6">
        <f t="shared" ca="1" si="5"/>
        <v>46150</v>
      </c>
      <c r="H90" s="7">
        <f t="shared" ca="1" si="3"/>
        <v>1171</v>
      </c>
      <c r="I90" s="5" t="str">
        <f t="shared" ca="1" si="4"/>
        <v>Tidak</v>
      </c>
    </row>
    <row r="91" spans="1:9" x14ac:dyDescent="0.3">
      <c r="A91">
        <v>89</v>
      </c>
      <c r="B91" t="s">
        <v>376</v>
      </c>
      <c r="C91" t="s">
        <v>305</v>
      </c>
      <c r="D91" s="1">
        <v>44979</v>
      </c>
      <c r="E91" t="s">
        <v>105</v>
      </c>
      <c r="F91" s="5">
        <v>365</v>
      </c>
      <c r="G91" s="6">
        <f t="shared" ca="1" si="5"/>
        <v>46150</v>
      </c>
      <c r="H91" s="7">
        <f t="shared" ca="1" si="3"/>
        <v>1171</v>
      </c>
      <c r="I91" s="5" t="str">
        <f t="shared" ca="1" si="4"/>
        <v>Tidak</v>
      </c>
    </row>
    <row r="92" spans="1:9" x14ac:dyDescent="0.3">
      <c r="A92">
        <v>90</v>
      </c>
      <c r="B92" t="s">
        <v>367</v>
      </c>
      <c r="C92" t="s">
        <v>310</v>
      </c>
      <c r="D92" s="1">
        <v>44980</v>
      </c>
      <c r="E92" t="s">
        <v>110</v>
      </c>
      <c r="F92" s="5">
        <v>365</v>
      </c>
      <c r="G92" s="6">
        <f t="shared" ca="1" si="5"/>
        <v>46150</v>
      </c>
      <c r="H92" s="7">
        <f t="shared" ca="1" si="3"/>
        <v>1170</v>
      </c>
      <c r="I92" s="5" t="str">
        <f t="shared" ca="1" si="4"/>
        <v>Tidak</v>
      </c>
    </row>
    <row r="93" spans="1:9" x14ac:dyDescent="0.3">
      <c r="A93">
        <v>91</v>
      </c>
      <c r="B93" t="s">
        <v>367</v>
      </c>
      <c r="C93" t="s">
        <v>311</v>
      </c>
      <c r="D93" s="1">
        <v>44980</v>
      </c>
      <c r="E93" t="s">
        <v>111</v>
      </c>
      <c r="F93" s="5">
        <v>365</v>
      </c>
      <c r="G93" s="6">
        <f t="shared" ca="1" si="5"/>
        <v>46150</v>
      </c>
      <c r="H93" s="7">
        <f t="shared" ca="1" si="3"/>
        <v>1170</v>
      </c>
      <c r="I93" s="5" t="str">
        <f t="shared" ca="1" si="4"/>
        <v>Tidak</v>
      </c>
    </row>
    <row r="94" spans="1:9" x14ac:dyDescent="0.3">
      <c r="A94">
        <v>92</v>
      </c>
      <c r="B94" t="s">
        <v>372</v>
      </c>
      <c r="C94" t="s">
        <v>298</v>
      </c>
      <c r="D94" s="1">
        <v>44985</v>
      </c>
      <c r="E94" t="s">
        <v>98</v>
      </c>
      <c r="F94" s="5">
        <v>365</v>
      </c>
      <c r="G94" s="6">
        <f t="shared" ca="1" si="5"/>
        <v>46150</v>
      </c>
      <c r="H94" s="7">
        <f t="shared" ca="1" si="3"/>
        <v>1165</v>
      </c>
      <c r="I94" s="5" t="str">
        <f t="shared" ca="1" si="4"/>
        <v>Tidak</v>
      </c>
    </row>
    <row r="95" spans="1:9" x14ac:dyDescent="0.3">
      <c r="A95">
        <v>93</v>
      </c>
      <c r="B95" t="s">
        <v>362</v>
      </c>
      <c r="C95" t="s">
        <v>243</v>
      </c>
      <c r="D95" s="1">
        <v>44993</v>
      </c>
      <c r="E95" t="s">
        <v>40</v>
      </c>
      <c r="F95" s="5">
        <v>365</v>
      </c>
      <c r="G95" s="6">
        <f t="shared" ca="1" si="5"/>
        <v>46150</v>
      </c>
      <c r="H95" s="7">
        <f t="shared" ca="1" si="3"/>
        <v>1157</v>
      </c>
      <c r="I95" s="5" t="str">
        <f t="shared" ca="1" si="4"/>
        <v>Tidak</v>
      </c>
    </row>
    <row r="96" spans="1:9" x14ac:dyDescent="0.3">
      <c r="A96">
        <v>94</v>
      </c>
      <c r="B96" t="s">
        <v>367</v>
      </c>
      <c r="C96" t="s">
        <v>255</v>
      </c>
      <c r="D96" s="1">
        <v>45002</v>
      </c>
      <c r="E96" t="s">
        <v>52</v>
      </c>
      <c r="F96" s="5">
        <v>365</v>
      </c>
      <c r="G96" s="6">
        <f t="shared" ca="1" si="5"/>
        <v>46150</v>
      </c>
      <c r="H96" s="7">
        <f t="shared" ca="1" si="3"/>
        <v>1148</v>
      </c>
      <c r="I96" s="5" t="str">
        <f t="shared" ca="1" si="4"/>
        <v>Tidak</v>
      </c>
    </row>
    <row r="97" spans="1:9" x14ac:dyDescent="0.3">
      <c r="A97">
        <v>95</v>
      </c>
      <c r="B97" t="s">
        <v>341</v>
      </c>
      <c r="C97" t="s">
        <v>341</v>
      </c>
      <c r="D97" s="1">
        <v>45006</v>
      </c>
      <c r="E97" t="s">
        <v>146</v>
      </c>
      <c r="F97" s="5">
        <v>365</v>
      </c>
      <c r="G97" s="6">
        <f t="shared" ca="1" si="5"/>
        <v>46150</v>
      </c>
      <c r="H97" s="7">
        <f t="shared" ca="1" si="3"/>
        <v>1144</v>
      </c>
      <c r="I97" s="5" t="str">
        <f t="shared" ca="1" si="4"/>
        <v>Tidak</v>
      </c>
    </row>
    <row r="98" spans="1:9" x14ac:dyDescent="0.3">
      <c r="A98">
        <v>96</v>
      </c>
      <c r="B98" t="s">
        <v>376</v>
      </c>
      <c r="C98" t="s">
        <v>306</v>
      </c>
      <c r="D98" s="1">
        <v>45015</v>
      </c>
      <c r="E98" t="s">
        <v>106</v>
      </c>
      <c r="F98" s="5">
        <v>365</v>
      </c>
      <c r="G98" s="6">
        <f t="shared" ca="1" si="5"/>
        <v>46150</v>
      </c>
      <c r="H98" s="7">
        <f t="shared" ca="1" si="3"/>
        <v>1135</v>
      </c>
      <c r="I98" s="5" t="str">
        <f t="shared" ca="1" si="4"/>
        <v>Tidak</v>
      </c>
    </row>
    <row r="99" spans="1:9" x14ac:dyDescent="0.3">
      <c r="A99">
        <v>97</v>
      </c>
      <c r="B99" t="s">
        <v>370</v>
      </c>
      <c r="C99" t="s">
        <v>316</v>
      </c>
      <c r="D99" s="1">
        <v>45015</v>
      </c>
      <c r="E99" t="s">
        <v>116</v>
      </c>
      <c r="F99" s="5">
        <v>365</v>
      </c>
      <c r="G99" s="6">
        <f t="shared" ca="1" si="5"/>
        <v>46150</v>
      </c>
      <c r="H99" s="7">
        <f t="shared" ca="1" si="3"/>
        <v>1135</v>
      </c>
      <c r="I99" s="5" t="str">
        <f t="shared" ca="1" si="4"/>
        <v>Tidak</v>
      </c>
    </row>
    <row r="100" spans="1:9" x14ac:dyDescent="0.3">
      <c r="A100">
        <v>98</v>
      </c>
      <c r="B100" t="s">
        <v>375</v>
      </c>
      <c r="C100" t="s">
        <v>304</v>
      </c>
      <c r="D100" s="1">
        <v>45016</v>
      </c>
      <c r="E100" t="s">
        <v>104</v>
      </c>
      <c r="F100" s="5">
        <v>365</v>
      </c>
      <c r="G100" s="6">
        <f t="shared" ca="1" si="5"/>
        <v>46150</v>
      </c>
      <c r="H100" s="7">
        <f t="shared" ca="1" si="3"/>
        <v>1134</v>
      </c>
      <c r="I100" s="5" t="str">
        <f t="shared" ca="1" si="4"/>
        <v>Tidak</v>
      </c>
    </row>
    <row r="101" spans="1:9" x14ac:dyDescent="0.3">
      <c r="A101">
        <v>99</v>
      </c>
      <c r="B101" t="s">
        <v>368</v>
      </c>
      <c r="C101" t="s">
        <v>258</v>
      </c>
      <c r="D101" s="1">
        <v>45022</v>
      </c>
      <c r="E101" t="s">
        <v>56</v>
      </c>
      <c r="F101" s="5">
        <v>365</v>
      </c>
      <c r="G101" s="6">
        <f t="shared" ca="1" si="5"/>
        <v>46150</v>
      </c>
      <c r="H101" s="7">
        <f t="shared" ca="1" si="3"/>
        <v>1128</v>
      </c>
      <c r="I101" s="5" t="str">
        <f t="shared" ca="1" si="4"/>
        <v>Tidak</v>
      </c>
    </row>
    <row r="102" spans="1:9" x14ac:dyDescent="0.3">
      <c r="A102">
        <v>100</v>
      </c>
      <c r="B102" t="s">
        <v>367</v>
      </c>
      <c r="C102" t="s">
        <v>313</v>
      </c>
      <c r="D102" s="1">
        <v>45024</v>
      </c>
      <c r="E102" t="s">
        <v>113</v>
      </c>
      <c r="F102" s="5">
        <v>365</v>
      </c>
      <c r="G102" s="6">
        <f t="shared" ca="1" si="5"/>
        <v>46150</v>
      </c>
      <c r="H102" s="7">
        <f t="shared" ca="1" si="3"/>
        <v>1126</v>
      </c>
      <c r="I102" s="5" t="str">
        <f t="shared" ca="1" si="4"/>
        <v>Tidak</v>
      </c>
    </row>
    <row r="103" spans="1:9" x14ac:dyDescent="0.3">
      <c r="A103">
        <v>101</v>
      </c>
      <c r="B103" t="s">
        <v>380</v>
      </c>
      <c r="C103" t="s">
        <v>318</v>
      </c>
      <c r="D103" s="1">
        <v>45025</v>
      </c>
      <c r="E103" t="s">
        <v>119</v>
      </c>
      <c r="F103" s="5">
        <v>365</v>
      </c>
      <c r="G103" s="6">
        <f t="shared" ca="1" si="5"/>
        <v>46150</v>
      </c>
      <c r="H103" s="7">
        <f t="shared" ca="1" si="3"/>
        <v>1125</v>
      </c>
      <c r="I103" s="5" t="str">
        <f t="shared" ca="1" si="4"/>
        <v>Tidak</v>
      </c>
    </row>
    <row r="104" spans="1:9" x14ac:dyDescent="0.3">
      <c r="A104">
        <v>102</v>
      </c>
      <c r="B104" t="s">
        <v>367</v>
      </c>
      <c r="C104" t="s">
        <v>269</v>
      </c>
      <c r="D104" s="1">
        <v>45030</v>
      </c>
      <c r="E104" t="s">
        <v>66</v>
      </c>
      <c r="F104" s="5">
        <v>365</v>
      </c>
      <c r="G104" s="6">
        <f t="shared" ca="1" si="5"/>
        <v>46150</v>
      </c>
      <c r="H104" s="7">
        <f t="shared" ca="1" si="3"/>
        <v>1120</v>
      </c>
      <c r="I104" s="5" t="str">
        <f t="shared" ca="1" si="4"/>
        <v>Tidak</v>
      </c>
    </row>
    <row r="105" spans="1:9" x14ac:dyDescent="0.3">
      <c r="A105">
        <v>103</v>
      </c>
      <c r="B105" t="s">
        <v>382</v>
      </c>
      <c r="C105" t="s">
        <v>320</v>
      </c>
      <c r="D105" s="1">
        <v>45031</v>
      </c>
      <c r="E105" t="s">
        <v>121</v>
      </c>
      <c r="F105" s="5">
        <v>365</v>
      </c>
      <c r="G105" s="6">
        <f t="shared" ca="1" si="5"/>
        <v>46150</v>
      </c>
      <c r="H105" s="7">
        <f t="shared" ca="1" si="3"/>
        <v>1119</v>
      </c>
      <c r="I105" s="5" t="str">
        <f t="shared" ca="1" si="4"/>
        <v>Tidak</v>
      </c>
    </row>
    <row r="106" spans="1:9" x14ac:dyDescent="0.3">
      <c r="A106">
        <v>104</v>
      </c>
      <c r="B106" t="s">
        <v>368</v>
      </c>
      <c r="C106" t="s">
        <v>265</v>
      </c>
      <c r="D106" s="1">
        <v>45050</v>
      </c>
      <c r="E106" t="s">
        <v>63</v>
      </c>
      <c r="F106" s="5">
        <v>365</v>
      </c>
      <c r="G106" s="6">
        <f t="shared" ca="1" si="5"/>
        <v>46150</v>
      </c>
      <c r="H106" s="7">
        <f t="shared" ca="1" si="3"/>
        <v>1100</v>
      </c>
      <c r="I106" s="5" t="str">
        <f t="shared" ca="1" si="4"/>
        <v>Tidak</v>
      </c>
    </row>
    <row r="107" spans="1:9" x14ac:dyDescent="0.3">
      <c r="A107">
        <v>105</v>
      </c>
      <c r="B107" t="s">
        <v>373</v>
      </c>
      <c r="C107" t="s">
        <v>300</v>
      </c>
      <c r="D107" s="1">
        <v>45063</v>
      </c>
      <c r="E107" t="s">
        <v>100</v>
      </c>
      <c r="F107" s="5">
        <v>365</v>
      </c>
      <c r="G107" s="6">
        <f t="shared" ca="1" si="5"/>
        <v>46150</v>
      </c>
      <c r="H107" s="7">
        <f t="shared" ca="1" si="3"/>
        <v>1087</v>
      </c>
      <c r="I107" s="5" t="str">
        <f t="shared" ca="1" si="4"/>
        <v>Tidak</v>
      </c>
    </row>
    <row r="108" spans="1:9" x14ac:dyDescent="0.3">
      <c r="A108">
        <v>106</v>
      </c>
      <c r="B108" t="s">
        <v>373</v>
      </c>
      <c r="C108" t="s">
        <v>303</v>
      </c>
      <c r="D108" s="1">
        <v>45069</v>
      </c>
      <c r="E108" t="s">
        <v>103</v>
      </c>
      <c r="F108" s="5">
        <v>365</v>
      </c>
      <c r="G108" s="6">
        <f t="shared" ca="1" si="5"/>
        <v>46150</v>
      </c>
      <c r="H108" s="7">
        <f t="shared" ca="1" si="3"/>
        <v>1081</v>
      </c>
      <c r="I108" s="5" t="str">
        <f t="shared" ca="1" si="4"/>
        <v>Tidak</v>
      </c>
    </row>
    <row r="109" spans="1:9" x14ac:dyDescent="0.3">
      <c r="A109">
        <v>107</v>
      </c>
      <c r="B109" t="s">
        <v>385</v>
      </c>
      <c r="C109" t="s">
        <v>207</v>
      </c>
      <c r="D109" s="1">
        <v>45069</v>
      </c>
      <c r="E109" t="s">
        <v>130</v>
      </c>
      <c r="F109" s="5">
        <v>365</v>
      </c>
      <c r="G109" s="6">
        <f t="shared" ca="1" si="5"/>
        <v>46150</v>
      </c>
      <c r="H109" s="7">
        <f t="shared" ca="1" si="3"/>
        <v>1081</v>
      </c>
      <c r="I109" s="5" t="str">
        <f t="shared" ca="1" si="4"/>
        <v>Tidak</v>
      </c>
    </row>
    <row r="110" spans="1:9" x14ac:dyDescent="0.3">
      <c r="A110">
        <v>108</v>
      </c>
      <c r="B110" t="s">
        <v>364</v>
      </c>
      <c r="C110" t="s">
        <v>334</v>
      </c>
      <c r="D110" s="1">
        <v>45075</v>
      </c>
      <c r="E110" t="s">
        <v>137</v>
      </c>
      <c r="F110" s="5">
        <v>365</v>
      </c>
      <c r="G110" s="6">
        <f t="shared" ca="1" si="5"/>
        <v>46150</v>
      </c>
      <c r="H110" s="7">
        <f t="shared" ca="1" si="3"/>
        <v>1075</v>
      </c>
      <c r="I110" s="5" t="str">
        <f t="shared" ca="1" si="4"/>
        <v>Tidak</v>
      </c>
    </row>
    <row r="111" spans="1:9" x14ac:dyDescent="0.3">
      <c r="A111">
        <v>109</v>
      </c>
      <c r="B111" t="s">
        <v>384</v>
      </c>
      <c r="C111" t="s">
        <v>336</v>
      </c>
      <c r="D111" s="1">
        <v>45077</v>
      </c>
      <c r="E111" t="s">
        <v>139</v>
      </c>
      <c r="F111" s="5">
        <v>365</v>
      </c>
      <c r="G111" s="6">
        <f t="shared" ca="1" si="5"/>
        <v>46150</v>
      </c>
      <c r="H111" s="7">
        <f t="shared" ca="1" si="3"/>
        <v>1073</v>
      </c>
      <c r="I111" s="5" t="str">
        <f t="shared" ca="1" si="4"/>
        <v>Tidak</v>
      </c>
    </row>
    <row r="112" spans="1:9" x14ac:dyDescent="0.3">
      <c r="A112">
        <v>110</v>
      </c>
      <c r="B112" t="s">
        <v>364</v>
      </c>
      <c r="C112" t="s">
        <v>319</v>
      </c>
      <c r="D112" s="1">
        <v>45084</v>
      </c>
      <c r="E112" t="s">
        <v>135</v>
      </c>
      <c r="F112" s="5">
        <v>365</v>
      </c>
      <c r="G112" s="6">
        <f t="shared" ca="1" si="5"/>
        <v>46150</v>
      </c>
      <c r="H112" s="7">
        <f t="shared" ca="1" si="3"/>
        <v>1066</v>
      </c>
      <c r="I112" s="5" t="str">
        <f t="shared" ca="1" si="4"/>
        <v>Tidak</v>
      </c>
    </row>
    <row r="113" spans="1:9" x14ac:dyDescent="0.3">
      <c r="A113">
        <v>111</v>
      </c>
      <c r="B113" t="s">
        <v>361</v>
      </c>
      <c r="C113" t="s">
        <v>207</v>
      </c>
      <c r="D113" s="1">
        <v>45085</v>
      </c>
      <c r="E113" t="s">
        <v>152</v>
      </c>
      <c r="F113" s="5">
        <v>365</v>
      </c>
      <c r="G113" s="6">
        <f t="shared" ca="1" si="5"/>
        <v>46150</v>
      </c>
      <c r="H113" s="7">
        <f t="shared" ca="1" si="3"/>
        <v>1065</v>
      </c>
      <c r="I113" s="5" t="str">
        <f t="shared" ca="1" si="4"/>
        <v>Tidak</v>
      </c>
    </row>
    <row r="114" spans="1:9" x14ac:dyDescent="0.3">
      <c r="A114">
        <v>112</v>
      </c>
      <c r="B114" t="s">
        <v>361</v>
      </c>
      <c r="C114" t="s">
        <v>207</v>
      </c>
      <c r="D114" s="1">
        <v>45085</v>
      </c>
      <c r="E114" t="s">
        <v>153</v>
      </c>
      <c r="F114" s="5">
        <v>365</v>
      </c>
      <c r="G114" s="6">
        <f t="shared" ca="1" si="5"/>
        <v>46150</v>
      </c>
      <c r="H114" s="7">
        <f t="shared" ca="1" si="3"/>
        <v>1065</v>
      </c>
      <c r="I114" s="5" t="str">
        <f t="shared" ca="1" si="4"/>
        <v>Tidak</v>
      </c>
    </row>
    <row r="115" spans="1:9" x14ac:dyDescent="0.3">
      <c r="A115">
        <v>113</v>
      </c>
      <c r="B115" t="s">
        <v>379</v>
      </c>
      <c r="C115" t="s">
        <v>314</v>
      </c>
      <c r="D115" s="1">
        <v>45086</v>
      </c>
      <c r="E115" t="s">
        <v>114</v>
      </c>
      <c r="F115" s="5">
        <v>365</v>
      </c>
      <c r="G115" s="6">
        <f t="shared" ca="1" si="5"/>
        <v>46150</v>
      </c>
      <c r="H115" s="7">
        <f t="shared" ca="1" si="3"/>
        <v>1064</v>
      </c>
      <c r="I115" s="5" t="str">
        <f t="shared" ca="1" si="4"/>
        <v>Tidak</v>
      </c>
    </row>
    <row r="116" spans="1:9" x14ac:dyDescent="0.3">
      <c r="A116">
        <v>114</v>
      </c>
      <c r="B116" t="s">
        <v>384</v>
      </c>
      <c r="C116" t="s">
        <v>325</v>
      </c>
      <c r="D116" s="1">
        <v>45087</v>
      </c>
      <c r="E116" t="s">
        <v>125</v>
      </c>
      <c r="F116" s="5">
        <v>365</v>
      </c>
      <c r="G116" s="6">
        <f t="shared" ca="1" si="5"/>
        <v>46150</v>
      </c>
      <c r="H116" s="7">
        <f t="shared" ca="1" si="3"/>
        <v>1063</v>
      </c>
      <c r="I116" s="5" t="str">
        <f t="shared" ca="1" si="4"/>
        <v>Tidak</v>
      </c>
    </row>
    <row r="117" spans="1:9" x14ac:dyDescent="0.3">
      <c r="A117">
        <v>115</v>
      </c>
      <c r="B117" t="s">
        <v>384</v>
      </c>
      <c r="C117" t="s">
        <v>328</v>
      </c>
      <c r="D117" s="1">
        <v>45089</v>
      </c>
      <c r="E117" t="s">
        <v>128</v>
      </c>
      <c r="F117" s="5">
        <v>365</v>
      </c>
      <c r="G117" s="6">
        <f t="shared" ca="1" si="5"/>
        <v>46150</v>
      </c>
      <c r="H117" s="7">
        <f t="shared" ca="1" si="3"/>
        <v>1061</v>
      </c>
      <c r="I117" s="5" t="str">
        <f t="shared" ca="1" si="4"/>
        <v>Tidak</v>
      </c>
    </row>
    <row r="118" spans="1:9" x14ac:dyDescent="0.3">
      <c r="A118">
        <v>116</v>
      </c>
      <c r="B118" t="s">
        <v>370</v>
      </c>
      <c r="C118" t="s">
        <v>317</v>
      </c>
      <c r="D118" s="1">
        <v>45094</v>
      </c>
      <c r="E118" t="s">
        <v>117</v>
      </c>
      <c r="F118" s="5">
        <v>365</v>
      </c>
      <c r="G118" s="6">
        <f t="shared" ca="1" si="5"/>
        <v>46150</v>
      </c>
      <c r="H118" s="7">
        <f t="shared" ca="1" si="3"/>
        <v>1056</v>
      </c>
      <c r="I118" s="5" t="str">
        <f t="shared" ca="1" si="4"/>
        <v>Tidak</v>
      </c>
    </row>
    <row r="119" spans="1:9" x14ac:dyDescent="0.3">
      <c r="A119">
        <v>117</v>
      </c>
      <c r="B119" t="s">
        <v>386</v>
      </c>
      <c r="C119" t="s">
        <v>332</v>
      </c>
      <c r="D119" s="1">
        <v>45094</v>
      </c>
      <c r="E119" t="s">
        <v>134</v>
      </c>
      <c r="F119" s="5">
        <v>365</v>
      </c>
      <c r="G119" s="6">
        <f t="shared" ca="1" si="5"/>
        <v>46150</v>
      </c>
      <c r="H119" s="7">
        <f t="shared" ca="1" si="3"/>
        <v>1056</v>
      </c>
      <c r="I119" s="5" t="str">
        <f t="shared" ca="1" si="4"/>
        <v>Tidak</v>
      </c>
    </row>
    <row r="120" spans="1:9" x14ac:dyDescent="0.3">
      <c r="A120">
        <v>118</v>
      </c>
      <c r="B120" t="s">
        <v>384</v>
      </c>
      <c r="C120" t="s">
        <v>337</v>
      </c>
      <c r="D120" s="1">
        <v>45094</v>
      </c>
      <c r="E120" t="s">
        <v>140</v>
      </c>
      <c r="F120" s="5">
        <v>365</v>
      </c>
      <c r="G120" s="6">
        <f t="shared" ca="1" si="5"/>
        <v>46150</v>
      </c>
      <c r="H120" s="7">
        <f t="shared" ca="1" si="3"/>
        <v>1056</v>
      </c>
      <c r="I120" s="5" t="str">
        <f t="shared" ca="1" si="4"/>
        <v>Tidak</v>
      </c>
    </row>
    <row r="121" spans="1:9" x14ac:dyDescent="0.3">
      <c r="A121">
        <v>119</v>
      </c>
      <c r="B121" t="s">
        <v>364</v>
      </c>
      <c r="C121" t="s">
        <v>327</v>
      </c>
      <c r="D121" s="1">
        <v>45099</v>
      </c>
      <c r="E121" t="s">
        <v>127</v>
      </c>
      <c r="F121" s="5">
        <v>365</v>
      </c>
      <c r="G121" s="6">
        <f t="shared" ca="1" si="5"/>
        <v>46150</v>
      </c>
      <c r="H121" s="7">
        <f t="shared" ca="1" si="3"/>
        <v>1051</v>
      </c>
      <c r="I121" s="5" t="str">
        <f t="shared" ca="1" si="4"/>
        <v>Tidak</v>
      </c>
    </row>
    <row r="122" spans="1:9" x14ac:dyDescent="0.3">
      <c r="A122">
        <v>120</v>
      </c>
      <c r="B122" t="s">
        <v>378</v>
      </c>
      <c r="C122" t="s">
        <v>312</v>
      </c>
      <c r="D122" s="1">
        <v>45107</v>
      </c>
      <c r="E122" t="s">
        <v>112</v>
      </c>
      <c r="F122" s="5">
        <v>365</v>
      </c>
      <c r="G122" s="6">
        <f t="shared" ca="1" si="5"/>
        <v>46150</v>
      </c>
      <c r="H122" s="7">
        <f t="shared" ca="1" si="3"/>
        <v>1043</v>
      </c>
      <c r="I122" s="5" t="str">
        <f t="shared" ca="1" si="4"/>
        <v>Tidak</v>
      </c>
    </row>
    <row r="123" spans="1:9" x14ac:dyDescent="0.3">
      <c r="A123">
        <v>121</v>
      </c>
      <c r="B123" t="s">
        <v>368</v>
      </c>
      <c r="C123" t="s">
        <v>288</v>
      </c>
      <c r="D123" s="1">
        <v>45111</v>
      </c>
      <c r="E123" t="s">
        <v>89</v>
      </c>
      <c r="F123" s="5">
        <v>365</v>
      </c>
      <c r="G123" s="6">
        <f t="shared" ca="1" si="5"/>
        <v>46150</v>
      </c>
      <c r="H123" s="7">
        <f t="shared" ca="1" si="3"/>
        <v>1039</v>
      </c>
      <c r="I123" s="5" t="str">
        <f t="shared" ca="1" si="4"/>
        <v>Tidak</v>
      </c>
    </row>
    <row r="124" spans="1:9" x14ac:dyDescent="0.3">
      <c r="A124">
        <v>122</v>
      </c>
      <c r="B124" t="s">
        <v>383</v>
      </c>
      <c r="C124" t="s">
        <v>324</v>
      </c>
      <c r="D124" s="1">
        <v>45112</v>
      </c>
      <c r="E124" t="s">
        <v>124</v>
      </c>
      <c r="F124" s="5">
        <v>365</v>
      </c>
      <c r="G124" s="6">
        <f t="shared" ca="1" si="5"/>
        <v>46150</v>
      </c>
      <c r="H124" s="7">
        <f t="shared" ca="1" si="3"/>
        <v>1038</v>
      </c>
      <c r="I124" s="5" t="str">
        <f t="shared" ca="1" si="4"/>
        <v>Tidak</v>
      </c>
    </row>
    <row r="125" spans="1:9" x14ac:dyDescent="0.3">
      <c r="A125">
        <v>123</v>
      </c>
      <c r="B125" t="s">
        <v>387</v>
      </c>
      <c r="C125">
        <v>230100</v>
      </c>
      <c r="D125" s="1">
        <v>45118</v>
      </c>
      <c r="E125" t="s">
        <v>148</v>
      </c>
      <c r="F125" s="5">
        <v>365</v>
      </c>
      <c r="G125" s="6">
        <f t="shared" ca="1" si="5"/>
        <v>46150</v>
      </c>
      <c r="H125" s="7">
        <f t="shared" ca="1" si="3"/>
        <v>1032</v>
      </c>
      <c r="I125" s="5" t="str">
        <f t="shared" ca="1" si="4"/>
        <v>Tidak</v>
      </c>
    </row>
    <row r="126" spans="1:9" x14ac:dyDescent="0.3">
      <c r="A126">
        <v>124</v>
      </c>
      <c r="B126" t="s">
        <v>375</v>
      </c>
      <c r="C126" t="s">
        <v>309</v>
      </c>
      <c r="D126" s="1">
        <v>45120</v>
      </c>
      <c r="E126" t="s">
        <v>109</v>
      </c>
      <c r="F126" s="5">
        <v>365</v>
      </c>
      <c r="G126" s="6">
        <f t="shared" ca="1" si="5"/>
        <v>46150</v>
      </c>
      <c r="H126" s="7">
        <f t="shared" ca="1" si="3"/>
        <v>1030</v>
      </c>
      <c r="I126" s="5" t="str">
        <f t="shared" ca="1" si="4"/>
        <v>Tidak</v>
      </c>
    </row>
    <row r="127" spans="1:9" x14ac:dyDescent="0.3">
      <c r="A127">
        <v>125</v>
      </c>
      <c r="B127" t="s">
        <v>384</v>
      </c>
      <c r="C127" t="s">
        <v>338</v>
      </c>
      <c r="D127" s="1">
        <v>45121</v>
      </c>
      <c r="E127" t="s">
        <v>141</v>
      </c>
      <c r="F127" s="5">
        <v>365</v>
      </c>
      <c r="G127" s="6">
        <f t="shared" ca="1" si="5"/>
        <v>46150</v>
      </c>
      <c r="H127" s="7">
        <f t="shared" ca="1" si="3"/>
        <v>1029</v>
      </c>
      <c r="I127" s="5" t="str">
        <f t="shared" ca="1" si="4"/>
        <v>Tidak</v>
      </c>
    </row>
    <row r="128" spans="1:9" x14ac:dyDescent="0.3">
      <c r="A128">
        <v>126</v>
      </c>
      <c r="B128" t="s">
        <v>368</v>
      </c>
      <c r="C128" t="s">
        <v>340</v>
      </c>
      <c r="D128" s="1">
        <v>45122</v>
      </c>
      <c r="E128" t="s">
        <v>145</v>
      </c>
      <c r="F128" s="5">
        <v>365</v>
      </c>
      <c r="G128" s="6">
        <f t="shared" ca="1" si="5"/>
        <v>46150</v>
      </c>
      <c r="H128" s="7">
        <f t="shared" ca="1" si="3"/>
        <v>1028</v>
      </c>
      <c r="I128" s="5" t="str">
        <f t="shared" ca="1" si="4"/>
        <v>Tidak</v>
      </c>
    </row>
    <row r="129" spans="1:9" x14ac:dyDescent="0.3">
      <c r="A129">
        <v>127</v>
      </c>
      <c r="B129" t="s">
        <v>364</v>
      </c>
      <c r="C129" t="s">
        <v>339</v>
      </c>
      <c r="D129" s="1">
        <v>45124</v>
      </c>
      <c r="E129" t="s">
        <v>142</v>
      </c>
      <c r="F129" s="5">
        <v>365</v>
      </c>
      <c r="G129" s="6">
        <f t="shared" ca="1" si="5"/>
        <v>46150</v>
      </c>
      <c r="H129" s="7">
        <f t="shared" ca="1" si="3"/>
        <v>1026</v>
      </c>
      <c r="I129" s="5" t="str">
        <f t="shared" ca="1" si="4"/>
        <v>Tidak</v>
      </c>
    </row>
    <row r="130" spans="1:9" x14ac:dyDescent="0.3">
      <c r="A130">
        <v>128</v>
      </c>
      <c r="B130" t="s">
        <v>371</v>
      </c>
      <c r="C130" t="s">
        <v>279</v>
      </c>
      <c r="D130" s="1">
        <v>45138</v>
      </c>
      <c r="E130" t="s">
        <v>77</v>
      </c>
      <c r="F130" s="5">
        <v>365</v>
      </c>
      <c r="G130" s="6">
        <f t="shared" ca="1" si="5"/>
        <v>46150</v>
      </c>
      <c r="H130" s="7">
        <f t="shared" ref="H130:H193" ca="1" si="6">G130-D130</f>
        <v>1012</v>
      </c>
      <c r="I130" s="5" t="str">
        <f t="shared" ref="I130:I193" ca="1" si="7">IF(H130&gt;F130,"Tidak","Garansi")</f>
        <v>Tidak</v>
      </c>
    </row>
    <row r="131" spans="1:9" x14ac:dyDescent="0.3">
      <c r="A131">
        <v>129</v>
      </c>
      <c r="B131" t="s">
        <v>374</v>
      </c>
      <c r="C131" t="s">
        <v>302</v>
      </c>
      <c r="D131" s="1">
        <v>45139</v>
      </c>
      <c r="E131" t="s">
        <v>102</v>
      </c>
      <c r="F131" s="5">
        <v>365</v>
      </c>
      <c r="G131" s="6">
        <f t="shared" ref="G131:G194" ca="1" si="8">TODAY()</f>
        <v>46150</v>
      </c>
      <c r="H131" s="7">
        <f t="shared" ca="1" si="6"/>
        <v>1011</v>
      </c>
      <c r="I131" s="5" t="str">
        <f t="shared" ca="1" si="7"/>
        <v>Tidak</v>
      </c>
    </row>
    <row r="132" spans="1:9" x14ac:dyDescent="0.3">
      <c r="A132">
        <v>130</v>
      </c>
      <c r="B132" t="s">
        <v>371</v>
      </c>
      <c r="C132" t="s">
        <v>319</v>
      </c>
      <c r="D132" s="1">
        <v>45139</v>
      </c>
      <c r="E132" t="s">
        <v>120</v>
      </c>
      <c r="F132" s="5">
        <v>365</v>
      </c>
      <c r="G132" s="6">
        <f t="shared" ca="1" si="8"/>
        <v>46150</v>
      </c>
      <c r="H132" s="7">
        <f t="shared" ca="1" si="6"/>
        <v>1011</v>
      </c>
      <c r="I132" s="5" t="str">
        <f t="shared" ca="1" si="7"/>
        <v>Tidak</v>
      </c>
    </row>
    <row r="133" spans="1:9" x14ac:dyDescent="0.3">
      <c r="A133">
        <v>131</v>
      </c>
      <c r="B133" t="s">
        <v>365</v>
      </c>
      <c r="C133" t="s">
        <v>333</v>
      </c>
      <c r="D133" s="1">
        <v>45143</v>
      </c>
      <c r="E133" t="s">
        <v>136</v>
      </c>
      <c r="F133" s="5">
        <v>365</v>
      </c>
      <c r="G133" s="6">
        <f t="shared" ca="1" si="8"/>
        <v>46150</v>
      </c>
      <c r="H133" s="7">
        <f t="shared" ca="1" si="6"/>
        <v>1007</v>
      </c>
      <c r="I133" s="5" t="str">
        <f t="shared" ca="1" si="7"/>
        <v>Tidak</v>
      </c>
    </row>
    <row r="134" spans="1:9" x14ac:dyDescent="0.3">
      <c r="A134">
        <v>132</v>
      </c>
      <c r="B134" t="s">
        <v>368</v>
      </c>
      <c r="C134" t="s">
        <v>286</v>
      </c>
      <c r="D134" s="1">
        <v>45147</v>
      </c>
      <c r="E134" t="s">
        <v>87</v>
      </c>
      <c r="F134" s="5">
        <v>365</v>
      </c>
      <c r="G134" s="6">
        <f t="shared" ca="1" si="8"/>
        <v>46150</v>
      </c>
      <c r="H134" s="7">
        <f t="shared" ca="1" si="6"/>
        <v>1003</v>
      </c>
      <c r="I134" s="5" t="str">
        <f t="shared" ca="1" si="7"/>
        <v>Tidak</v>
      </c>
    </row>
    <row r="135" spans="1:9" x14ac:dyDescent="0.3">
      <c r="A135">
        <v>133</v>
      </c>
      <c r="B135" t="s">
        <v>364</v>
      </c>
      <c r="C135" t="s">
        <v>329</v>
      </c>
      <c r="D135" s="1">
        <v>45148</v>
      </c>
      <c r="E135" t="s">
        <v>129</v>
      </c>
      <c r="F135" s="5">
        <v>365</v>
      </c>
      <c r="G135" s="6">
        <f t="shared" ca="1" si="8"/>
        <v>46150</v>
      </c>
      <c r="H135" s="7">
        <f t="shared" ca="1" si="6"/>
        <v>1002</v>
      </c>
      <c r="I135" s="5" t="str">
        <f t="shared" ca="1" si="7"/>
        <v>Tidak</v>
      </c>
    </row>
    <row r="136" spans="1:9" x14ac:dyDescent="0.3">
      <c r="A136">
        <v>134</v>
      </c>
      <c r="B136" t="s">
        <v>368</v>
      </c>
      <c r="C136">
        <v>230230</v>
      </c>
      <c r="D136" s="1">
        <v>45150</v>
      </c>
      <c r="E136" t="s">
        <v>150</v>
      </c>
      <c r="F136" s="5">
        <v>365</v>
      </c>
      <c r="G136" s="6">
        <f t="shared" ca="1" si="8"/>
        <v>46150</v>
      </c>
      <c r="H136" s="7">
        <f t="shared" ca="1" si="6"/>
        <v>1000</v>
      </c>
      <c r="I136" s="5" t="str">
        <f t="shared" ca="1" si="7"/>
        <v>Tidak</v>
      </c>
    </row>
    <row r="137" spans="1:9" x14ac:dyDescent="0.3">
      <c r="A137">
        <v>135</v>
      </c>
      <c r="B137" t="s">
        <v>370</v>
      </c>
      <c r="C137" t="s">
        <v>293</v>
      </c>
      <c r="D137" s="1">
        <v>45158</v>
      </c>
      <c r="E137" t="s">
        <v>94</v>
      </c>
      <c r="F137" s="5">
        <v>365</v>
      </c>
      <c r="G137" s="6">
        <f t="shared" ca="1" si="8"/>
        <v>46150</v>
      </c>
      <c r="H137" s="7">
        <f t="shared" ca="1" si="6"/>
        <v>992</v>
      </c>
      <c r="I137" s="5" t="str">
        <f t="shared" ca="1" si="7"/>
        <v>Tidak</v>
      </c>
    </row>
    <row r="138" spans="1:9" x14ac:dyDescent="0.3">
      <c r="A138">
        <v>136</v>
      </c>
      <c r="B138" t="s">
        <v>371</v>
      </c>
      <c r="C138" t="s">
        <v>321</v>
      </c>
      <c r="D138" s="1">
        <v>45159</v>
      </c>
      <c r="E138" t="s">
        <v>122</v>
      </c>
      <c r="F138" s="5">
        <v>365</v>
      </c>
      <c r="G138" s="6">
        <f t="shared" ca="1" si="8"/>
        <v>46150</v>
      </c>
      <c r="H138" s="7">
        <f t="shared" ca="1" si="6"/>
        <v>991</v>
      </c>
      <c r="I138" s="5" t="str">
        <f t="shared" ca="1" si="7"/>
        <v>Tidak</v>
      </c>
    </row>
    <row r="139" spans="1:9" x14ac:dyDescent="0.3">
      <c r="A139">
        <v>137</v>
      </c>
      <c r="B139" t="s">
        <v>383</v>
      </c>
      <c r="C139" t="s">
        <v>323</v>
      </c>
      <c r="D139" s="1">
        <v>45166</v>
      </c>
      <c r="E139" t="s">
        <v>123</v>
      </c>
      <c r="F139" s="5">
        <v>365</v>
      </c>
      <c r="G139" s="6">
        <f t="shared" ca="1" si="8"/>
        <v>46150</v>
      </c>
      <c r="H139" s="7">
        <f t="shared" ca="1" si="6"/>
        <v>984</v>
      </c>
      <c r="I139" s="5" t="str">
        <f t="shared" ca="1" si="7"/>
        <v>Tidak</v>
      </c>
    </row>
    <row r="140" spans="1:9" x14ac:dyDescent="0.3">
      <c r="A140">
        <v>138</v>
      </c>
      <c r="B140" t="s">
        <v>375</v>
      </c>
      <c r="C140" t="s">
        <v>308</v>
      </c>
      <c r="D140" s="1">
        <v>45169</v>
      </c>
      <c r="E140" t="s">
        <v>108</v>
      </c>
      <c r="F140" s="5">
        <v>365</v>
      </c>
      <c r="G140" s="6">
        <f t="shared" ca="1" si="8"/>
        <v>46150</v>
      </c>
      <c r="H140" s="7">
        <f t="shared" ca="1" si="6"/>
        <v>981</v>
      </c>
      <c r="I140" s="5" t="str">
        <f t="shared" ca="1" si="7"/>
        <v>Tidak</v>
      </c>
    </row>
    <row r="141" spans="1:9" x14ac:dyDescent="0.3">
      <c r="A141">
        <v>139</v>
      </c>
      <c r="B141" t="s">
        <v>368</v>
      </c>
      <c r="C141" t="s">
        <v>342</v>
      </c>
      <c r="D141" s="1">
        <v>45172</v>
      </c>
      <c r="E141" t="s">
        <v>154</v>
      </c>
      <c r="F141" s="5">
        <v>365</v>
      </c>
      <c r="G141" s="6">
        <f t="shared" ca="1" si="8"/>
        <v>46150</v>
      </c>
      <c r="H141" s="7">
        <f t="shared" ca="1" si="6"/>
        <v>978</v>
      </c>
      <c r="I141" s="5" t="str">
        <f t="shared" ca="1" si="7"/>
        <v>Tidak</v>
      </c>
    </row>
    <row r="142" spans="1:9" x14ac:dyDescent="0.3">
      <c r="A142">
        <v>140</v>
      </c>
      <c r="B142" t="s">
        <v>364</v>
      </c>
      <c r="C142" t="s">
        <v>330</v>
      </c>
      <c r="D142" s="1">
        <v>45175</v>
      </c>
      <c r="E142" t="s">
        <v>131</v>
      </c>
      <c r="F142" s="5">
        <v>365</v>
      </c>
      <c r="G142" s="6">
        <f t="shared" ca="1" si="8"/>
        <v>46150</v>
      </c>
      <c r="H142" s="7">
        <f t="shared" ca="1" si="6"/>
        <v>975</v>
      </c>
      <c r="I142" s="5" t="str">
        <f t="shared" ca="1" si="7"/>
        <v>Tidak</v>
      </c>
    </row>
    <row r="143" spans="1:9" x14ac:dyDescent="0.3">
      <c r="A143">
        <v>141</v>
      </c>
      <c r="B143" t="s">
        <v>368</v>
      </c>
      <c r="C143">
        <v>230125</v>
      </c>
      <c r="D143" s="1">
        <v>45181</v>
      </c>
      <c r="E143" t="s">
        <v>143</v>
      </c>
      <c r="F143" s="5">
        <v>365</v>
      </c>
      <c r="G143" s="6">
        <f t="shared" ca="1" si="8"/>
        <v>46150</v>
      </c>
      <c r="H143" s="7">
        <f t="shared" ca="1" si="6"/>
        <v>969</v>
      </c>
      <c r="I143" s="5" t="str">
        <f t="shared" ca="1" si="7"/>
        <v>Tidak</v>
      </c>
    </row>
    <row r="144" spans="1:9" x14ac:dyDescent="0.3">
      <c r="A144">
        <v>142</v>
      </c>
      <c r="B144" t="s">
        <v>363</v>
      </c>
      <c r="C144" t="s">
        <v>297</v>
      </c>
      <c r="D144" s="1">
        <v>45191</v>
      </c>
      <c r="E144" t="s">
        <v>97</v>
      </c>
      <c r="F144" s="5">
        <v>365</v>
      </c>
      <c r="G144" s="6">
        <f t="shared" ca="1" si="8"/>
        <v>46150</v>
      </c>
      <c r="H144" s="7">
        <f t="shared" ca="1" si="6"/>
        <v>959</v>
      </c>
      <c r="I144" s="5" t="str">
        <f t="shared" ca="1" si="7"/>
        <v>Tidak</v>
      </c>
    </row>
    <row r="145" spans="1:9" x14ac:dyDescent="0.3">
      <c r="A145">
        <v>143</v>
      </c>
      <c r="B145" t="s">
        <v>383</v>
      </c>
      <c r="C145" t="s">
        <v>322</v>
      </c>
      <c r="D145" s="1">
        <v>45200</v>
      </c>
      <c r="E145" t="s">
        <v>123</v>
      </c>
      <c r="F145" s="5">
        <v>365</v>
      </c>
      <c r="G145" s="6">
        <f t="shared" ca="1" si="8"/>
        <v>46150</v>
      </c>
      <c r="H145" s="7">
        <f t="shared" ca="1" si="6"/>
        <v>950</v>
      </c>
      <c r="I145" s="5" t="str">
        <f t="shared" ca="1" si="7"/>
        <v>Tidak</v>
      </c>
    </row>
    <row r="146" spans="1:9" x14ac:dyDescent="0.3">
      <c r="A146">
        <v>144</v>
      </c>
      <c r="B146" t="s">
        <v>361</v>
      </c>
      <c r="C146" t="s">
        <v>207</v>
      </c>
      <c r="D146" s="1">
        <v>45204</v>
      </c>
      <c r="E146" t="s">
        <v>166</v>
      </c>
      <c r="F146" s="5">
        <v>365</v>
      </c>
      <c r="G146" s="6">
        <f t="shared" ca="1" si="8"/>
        <v>46150</v>
      </c>
      <c r="H146" s="7">
        <f t="shared" ca="1" si="6"/>
        <v>946</v>
      </c>
      <c r="I146" s="5" t="str">
        <f t="shared" ca="1" si="7"/>
        <v>Tidak</v>
      </c>
    </row>
    <row r="147" spans="1:9" x14ac:dyDescent="0.3">
      <c r="A147">
        <v>145</v>
      </c>
      <c r="B147" t="s">
        <v>368</v>
      </c>
      <c r="C147" t="s">
        <v>267</v>
      </c>
      <c r="D147" s="1">
        <v>45210</v>
      </c>
      <c r="E147" t="s">
        <v>427</v>
      </c>
      <c r="F147" s="5">
        <v>365</v>
      </c>
      <c r="G147" s="6">
        <f t="shared" ca="1" si="8"/>
        <v>46150</v>
      </c>
      <c r="H147" s="7">
        <f t="shared" ca="1" si="6"/>
        <v>940</v>
      </c>
      <c r="I147" s="5" t="str">
        <f t="shared" ca="1" si="7"/>
        <v>Tidak</v>
      </c>
    </row>
    <row r="148" spans="1:9" x14ac:dyDescent="0.3">
      <c r="A148">
        <v>146</v>
      </c>
      <c r="B148" t="s">
        <v>341</v>
      </c>
      <c r="C148" t="s">
        <v>345</v>
      </c>
      <c r="D148" s="1">
        <v>45212</v>
      </c>
      <c r="E148" t="s">
        <v>172</v>
      </c>
      <c r="F148" s="5">
        <v>365</v>
      </c>
      <c r="G148" s="6">
        <f t="shared" ca="1" si="8"/>
        <v>46150</v>
      </c>
      <c r="H148" s="7">
        <f t="shared" ca="1" si="6"/>
        <v>938</v>
      </c>
      <c r="I148" s="5" t="str">
        <f t="shared" ca="1" si="7"/>
        <v>Tidak</v>
      </c>
    </row>
    <row r="149" spans="1:9" x14ac:dyDescent="0.3">
      <c r="A149">
        <v>147</v>
      </c>
      <c r="B149" t="s">
        <v>341</v>
      </c>
      <c r="C149" t="s">
        <v>347</v>
      </c>
      <c r="D149" s="1">
        <v>45213</v>
      </c>
      <c r="E149" t="s">
        <v>177</v>
      </c>
      <c r="F149" s="5">
        <v>365</v>
      </c>
      <c r="G149" s="6">
        <f t="shared" ca="1" si="8"/>
        <v>46150</v>
      </c>
      <c r="H149" s="7">
        <f t="shared" ca="1" si="6"/>
        <v>937</v>
      </c>
      <c r="I149" s="5" t="str">
        <f t="shared" ca="1" si="7"/>
        <v>Tidak</v>
      </c>
    </row>
    <row r="150" spans="1:9" x14ac:dyDescent="0.3">
      <c r="A150">
        <v>148</v>
      </c>
      <c r="B150" t="s">
        <v>368</v>
      </c>
      <c r="C150" t="s">
        <v>343</v>
      </c>
      <c r="D150" s="1">
        <v>45217</v>
      </c>
      <c r="E150" t="s">
        <v>160</v>
      </c>
      <c r="F150" s="5">
        <v>365</v>
      </c>
      <c r="G150" s="6">
        <f t="shared" ca="1" si="8"/>
        <v>46150</v>
      </c>
      <c r="H150" s="7">
        <f t="shared" ca="1" si="6"/>
        <v>933</v>
      </c>
      <c r="I150" s="5" t="str">
        <f t="shared" ca="1" si="7"/>
        <v>Tidak</v>
      </c>
    </row>
    <row r="151" spans="1:9" x14ac:dyDescent="0.3">
      <c r="A151">
        <v>149</v>
      </c>
      <c r="B151" t="s">
        <v>361</v>
      </c>
      <c r="C151" t="s">
        <v>207</v>
      </c>
      <c r="D151" s="1">
        <v>45223</v>
      </c>
      <c r="E151" t="s">
        <v>159</v>
      </c>
      <c r="F151" s="5">
        <v>365</v>
      </c>
      <c r="G151" s="6">
        <f t="shared" ca="1" si="8"/>
        <v>46150</v>
      </c>
      <c r="H151" s="7">
        <f t="shared" ca="1" si="6"/>
        <v>927</v>
      </c>
      <c r="I151" s="5" t="str">
        <f t="shared" ca="1" si="7"/>
        <v>Tidak</v>
      </c>
    </row>
    <row r="152" spans="1:9" x14ac:dyDescent="0.3">
      <c r="A152">
        <v>150</v>
      </c>
      <c r="B152" t="s">
        <v>341</v>
      </c>
      <c r="C152" t="s">
        <v>345</v>
      </c>
      <c r="D152" s="1">
        <v>45228</v>
      </c>
      <c r="E152" t="s">
        <v>179</v>
      </c>
      <c r="F152" s="5">
        <v>365</v>
      </c>
      <c r="G152" s="6">
        <f t="shared" ca="1" si="8"/>
        <v>46150</v>
      </c>
      <c r="H152" s="7">
        <f t="shared" ca="1" si="6"/>
        <v>922</v>
      </c>
      <c r="I152" s="5" t="str">
        <f t="shared" ca="1" si="7"/>
        <v>Tidak</v>
      </c>
    </row>
    <row r="153" spans="1:9" x14ac:dyDescent="0.3">
      <c r="A153">
        <v>151</v>
      </c>
      <c r="B153" t="s">
        <v>361</v>
      </c>
      <c r="C153" t="s">
        <v>207</v>
      </c>
      <c r="D153" s="1">
        <v>45229</v>
      </c>
      <c r="E153" t="s">
        <v>162</v>
      </c>
      <c r="F153" s="5">
        <v>365</v>
      </c>
      <c r="G153" s="6">
        <f t="shared" ca="1" si="8"/>
        <v>46150</v>
      </c>
      <c r="H153" s="7">
        <f t="shared" ca="1" si="6"/>
        <v>921</v>
      </c>
      <c r="I153" s="5" t="str">
        <f t="shared" ca="1" si="7"/>
        <v>Tidak</v>
      </c>
    </row>
    <row r="154" spans="1:9" x14ac:dyDescent="0.3">
      <c r="A154">
        <v>152</v>
      </c>
      <c r="B154" t="s">
        <v>368</v>
      </c>
      <c r="C154">
        <v>230409</v>
      </c>
      <c r="D154" s="1">
        <v>45231</v>
      </c>
      <c r="E154" t="s">
        <v>147</v>
      </c>
      <c r="F154" s="5">
        <v>365</v>
      </c>
      <c r="G154" s="6">
        <f t="shared" ca="1" si="8"/>
        <v>46150</v>
      </c>
      <c r="H154" s="7">
        <f t="shared" ca="1" si="6"/>
        <v>919</v>
      </c>
      <c r="I154" s="5" t="str">
        <f t="shared" ca="1" si="7"/>
        <v>Tidak</v>
      </c>
    </row>
    <row r="155" spans="1:9" x14ac:dyDescent="0.3">
      <c r="A155">
        <v>153</v>
      </c>
      <c r="B155" t="s">
        <v>364</v>
      </c>
      <c r="C155" t="s">
        <v>254</v>
      </c>
      <c r="D155" s="1">
        <v>45234</v>
      </c>
      <c r="E155" t="s">
        <v>51</v>
      </c>
      <c r="F155" s="5">
        <v>365</v>
      </c>
      <c r="G155" s="6">
        <f t="shared" ca="1" si="8"/>
        <v>46150</v>
      </c>
      <c r="H155" s="7">
        <f t="shared" ca="1" si="6"/>
        <v>916</v>
      </c>
      <c r="I155" s="5" t="str">
        <f t="shared" ca="1" si="7"/>
        <v>Tidak</v>
      </c>
    </row>
    <row r="156" spans="1:9" x14ac:dyDescent="0.3">
      <c r="A156">
        <v>154</v>
      </c>
      <c r="B156" t="s">
        <v>368</v>
      </c>
      <c r="C156">
        <v>230303</v>
      </c>
      <c r="D156" s="1">
        <v>45235</v>
      </c>
      <c r="E156" t="s">
        <v>151</v>
      </c>
      <c r="F156" s="5">
        <v>365</v>
      </c>
      <c r="G156" s="6">
        <f t="shared" ca="1" si="8"/>
        <v>46150</v>
      </c>
      <c r="H156" s="7">
        <f t="shared" ca="1" si="6"/>
        <v>915</v>
      </c>
      <c r="I156" s="5" t="str">
        <f t="shared" ca="1" si="7"/>
        <v>Tidak</v>
      </c>
    </row>
    <row r="157" spans="1:9" x14ac:dyDescent="0.3">
      <c r="A157">
        <v>155</v>
      </c>
      <c r="B157" t="s">
        <v>363</v>
      </c>
      <c r="C157" t="s">
        <v>245</v>
      </c>
      <c r="D157" s="1">
        <v>45241</v>
      </c>
      <c r="E157" t="s">
        <v>42</v>
      </c>
      <c r="F157" s="5">
        <v>365</v>
      </c>
      <c r="G157" s="6">
        <f t="shared" ca="1" si="8"/>
        <v>46150</v>
      </c>
      <c r="H157" s="7">
        <f t="shared" ca="1" si="6"/>
        <v>909</v>
      </c>
      <c r="I157" s="5" t="str">
        <f t="shared" ca="1" si="7"/>
        <v>Tidak</v>
      </c>
    </row>
    <row r="158" spans="1:9" x14ac:dyDescent="0.3">
      <c r="A158">
        <v>156</v>
      </c>
      <c r="B158" t="s">
        <v>368</v>
      </c>
      <c r="C158">
        <v>230342</v>
      </c>
      <c r="D158" s="1">
        <v>45241</v>
      </c>
      <c r="E158" t="s">
        <v>155</v>
      </c>
      <c r="F158" s="5">
        <v>365</v>
      </c>
      <c r="G158" s="6">
        <f t="shared" ca="1" si="8"/>
        <v>46150</v>
      </c>
      <c r="H158" s="7">
        <f t="shared" ca="1" si="6"/>
        <v>909</v>
      </c>
      <c r="I158" s="5" t="str">
        <f t="shared" ca="1" si="7"/>
        <v>Tidak</v>
      </c>
    </row>
    <row r="159" spans="1:9" x14ac:dyDescent="0.3">
      <c r="A159">
        <v>157</v>
      </c>
      <c r="B159" t="s">
        <v>364</v>
      </c>
      <c r="C159">
        <v>230483</v>
      </c>
      <c r="D159" s="1">
        <v>45245</v>
      </c>
      <c r="E159" t="s">
        <v>161</v>
      </c>
      <c r="F159" s="5">
        <v>365</v>
      </c>
      <c r="G159" s="6">
        <f t="shared" ca="1" si="8"/>
        <v>46150</v>
      </c>
      <c r="H159" s="7">
        <f t="shared" ca="1" si="6"/>
        <v>905</v>
      </c>
      <c r="I159" s="5" t="str">
        <f t="shared" ca="1" si="7"/>
        <v>Tidak</v>
      </c>
    </row>
    <row r="160" spans="1:9" x14ac:dyDescent="0.3">
      <c r="A160">
        <v>158</v>
      </c>
      <c r="B160" t="s">
        <v>363</v>
      </c>
      <c r="C160">
        <v>230484</v>
      </c>
      <c r="D160" s="1">
        <v>45245</v>
      </c>
      <c r="E160" t="s">
        <v>161</v>
      </c>
      <c r="F160" s="5">
        <v>365</v>
      </c>
      <c r="G160" s="6">
        <f t="shared" ca="1" si="8"/>
        <v>46150</v>
      </c>
      <c r="H160" s="7">
        <f t="shared" ca="1" si="6"/>
        <v>905</v>
      </c>
      <c r="I160" s="5" t="str">
        <f t="shared" ca="1" si="7"/>
        <v>Tidak</v>
      </c>
    </row>
    <row r="161" spans="1:9" x14ac:dyDescent="0.3">
      <c r="A161">
        <v>159</v>
      </c>
      <c r="B161" t="s">
        <v>368</v>
      </c>
      <c r="C161">
        <v>230052</v>
      </c>
      <c r="D161" s="1">
        <v>45248</v>
      </c>
      <c r="E161" t="s">
        <v>79</v>
      </c>
      <c r="F161" s="5">
        <v>365</v>
      </c>
      <c r="G161" s="6">
        <f t="shared" ca="1" si="8"/>
        <v>46150</v>
      </c>
      <c r="H161" s="7">
        <f t="shared" ca="1" si="6"/>
        <v>902</v>
      </c>
      <c r="I161" s="5" t="str">
        <f t="shared" ca="1" si="7"/>
        <v>Tidak</v>
      </c>
    </row>
    <row r="162" spans="1:9" x14ac:dyDescent="0.3">
      <c r="A162">
        <v>160</v>
      </c>
      <c r="B162" t="s">
        <v>368</v>
      </c>
      <c r="C162" t="s">
        <v>326</v>
      </c>
      <c r="D162" s="1">
        <v>45251</v>
      </c>
      <c r="E162" t="s">
        <v>126</v>
      </c>
      <c r="F162" s="5">
        <v>365</v>
      </c>
      <c r="G162" s="6">
        <f t="shared" ca="1" si="8"/>
        <v>46150</v>
      </c>
      <c r="H162" s="7">
        <f t="shared" ca="1" si="6"/>
        <v>899</v>
      </c>
      <c r="I162" s="5" t="str">
        <f t="shared" ca="1" si="7"/>
        <v>Tidak</v>
      </c>
    </row>
    <row r="163" spans="1:9" x14ac:dyDescent="0.3">
      <c r="A163">
        <v>161</v>
      </c>
      <c r="B163" t="s">
        <v>341</v>
      </c>
      <c r="C163" t="s">
        <v>348</v>
      </c>
      <c r="D163" s="1">
        <v>45259</v>
      </c>
      <c r="E163" t="s">
        <v>180</v>
      </c>
      <c r="F163" s="5">
        <v>365</v>
      </c>
      <c r="G163" s="6">
        <f t="shared" ca="1" si="8"/>
        <v>46150</v>
      </c>
      <c r="H163" s="7">
        <f t="shared" ca="1" si="6"/>
        <v>891</v>
      </c>
      <c r="I163" s="5" t="str">
        <f t="shared" ca="1" si="7"/>
        <v>Tidak</v>
      </c>
    </row>
    <row r="164" spans="1:9" x14ac:dyDescent="0.3">
      <c r="A164">
        <v>162</v>
      </c>
      <c r="B164" t="s">
        <v>367</v>
      </c>
      <c r="C164" t="s">
        <v>280</v>
      </c>
      <c r="D164" s="1">
        <v>45270</v>
      </c>
      <c r="E164" t="s">
        <v>78</v>
      </c>
      <c r="F164" s="5">
        <v>365</v>
      </c>
      <c r="G164" s="6">
        <f t="shared" ca="1" si="8"/>
        <v>46150</v>
      </c>
      <c r="H164" s="7">
        <f t="shared" ca="1" si="6"/>
        <v>880</v>
      </c>
      <c r="I164" s="5" t="str">
        <f t="shared" ca="1" si="7"/>
        <v>Tidak</v>
      </c>
    </row>
    <row r="165" spans="1:9" x14ac:dyDescent="0.3">
      <c r="A165">
        <v>163</v>
      </c>
      <c r="B165" t="s">
        <v>368</v>
      </c>
      <c r="C165">
        <v>230340</v>
      </c>
      <c r="D165" s="1">
        <v>45272</v>
      </c>
      <c r="E165" t="s">
        <v>156</v>
      </c>
      <c r="F165" s="5">
        <v>365</v>
      </c>
      <c r="G165" s="6">
        <f t="shared" ca="1" si="8"/>
        <v>46150</v>
      </c>
      <c r="H165" s="7">
        <f t="shared" ca="1" si="6"/>
        <v>878</v>
      </c>
      <c r="I165" s="5" t="str">
        <f t="shared" ca="1" si="7"/>
        <v>Tidak</v>
      </c>
    </row>
    <row r="166" spans="1:9" x14ac:dyDescent="0.3">
      <c r="A166">
        <v>164</v>
      </c>
      <c r="B166" t="s">
        <v>368</v>
      </c>
      <c r="C166">
        <v>230339</v>
      </c>
      <c r="D166" s="1">
        <v>45272</v>
      </c>
      <c r="E166" t="s">
        <v>157</v>
      </c>
      <c r="F166" s="5">
        <v>365</v>
      </c>
      <c r="G166" s="6">
        <f t="shared" ca="1" si="8"/>
        <v>46150</v>
      </c>
      <c r="H166" s="7">
        <f t="shared" ca="1" si="6"/>
        <v>878</v>
      </c>
      <c r="I166" s="5" t="str">
        <f t="shared" ca="1" si="7"/>
        <v>Tidak</v>
      </c>
    </row>
    <row r="167" spans="1:9" x14ac:dyDescent="0.3">
      <c r="A167">
        <v>165</v>
      </c>
      <c r="B167" t="s">
        <v>368</v>
      </c>
      <c r="C167" t="s">
        <v>344</v>
      </c>
      <c r="D167" s="1">
        <v>45272</v>
      </c>
      <c r="E167" t="s">
        <v>163</v>
      </c>
      <c r="F167" s="5">
        <v>365</v>
      </c>
      <c r="G167" s="6">
        <f t="shared" ca="1" si="8"/>
        <v>46150</v>
      </c>
      <c r="H167" s="7">
        <f t="shared" ca="1" si="6"/>
        <v>878</v>
      </c>
      <c r="I167" s="5" t="str">
        <f t="shared" ca="1" si="7"/>
        <v>Tidak</v>
      </c>
    </row>
    <row r="168" spans="1:9" x14ac:dyDescent="0.3">
      <c r="A168">
        <v>166</v>
      </c>
      <c r="B168" t="s">
        <v>341</v>
      </c>
      <c r="C168" t="s">
        <v>341</v>
      </c>
      <c r="D168" s="1">
        <v>45273</v>
      </c>
      <c r="E168" t="s">
        <v>187</v>
      </c>
      <c r="F168" s="5">
        <v>365</v>
      </c>
      <c r="G168" s="6">
        <f t="shared" ca="1" si="8"/>
        <v>46150</v>
      </c>
      <c r="H168" s="7">
        <f t="shared" ca="1" si="6"/>
        <v>877</v>
      </c>
      <c r="I168" s="5" t="str">
        <f t="shared" ca="1" si="7"/>
        <v>Tidak</v>
      </c>
    </row>
    <row r="169" spans="1:9" x14ac:dyDescent="0.3">
      <c r="A169">
        <v>167</v>
      </c>
      <c r="B169" t="s">
        <v>365</v>
      </c>
      <c r="C169">
        <v>230557</v>
      </c>
      <c r="D169" s="1">
        <v>45274</v>
      </c>
      <c r="E169" t="s">
        <v>167</v>
      </c>
      <c r="F169" s="5">
        <v>365</v>
      </c>
      <c r="G169" s="6">
        <f t="shared" ca="1" si="8"/>
        <v>46150</v>
      </c>
      <c r="H169" s="7">
        <f t="shared" ca="1" si="6"/>
        <v>876</v>
      </c>
      <c r="I169" s="5" t="str">
        <f t="shared" ca="1" si="7"/>
        <v>Tidak</v>
      </c>
    </row>
    <row r="170" spans="1:9" x14ac:dyDescent="0.3">
      <c r="A170">
        <v>168</v>
      </c>
      <c r="B170" t="s">
        <v>341</v>
      </c>
      <c r="C170" t="s">
        <v>341</v>
      </c>
      <c r="D170" s="1">
        <v>45286</v>
      </c>
      <c r="E170" t="s">
        <v>185</v>
      </c>
      <c r="F170" s="5">
        <v>365</v>
      </c>
      <c r="G170" s="6">
        <f t="shared" ca="1" si="8"/>
        <v>46150</v>
      </c>
      <c r="H170" s="7">
        <f t="shared" ca="1" si="6"/>
        <v>864</v>
      </c>
      <c r="I170" s="5" t="str">
        <f t="shared" ca="1" si="7"/>
        <v>Tidak</v>
      </c>
    </row>
    <row r="171" spans="1:9" x14ac:dyDescent="0.3">
      <c r="A171">
        <v>169</v>
      </c>
      <c r="B171" t="s">
        <v>368</v>
      </c>
      <c r="C171" t="s">
        <v>275</v>
      </c>
      <c r="D171" s="1">
        <v>45287</v>
      </c>
      <c r="E171" t="s">
        <v>73</v>
      </c>
      <c r="F171" s="5">
        <v>365</v>
      </c>
      <c r="G171" s="6">
        <f t="shared" ca="1" si="8"/>
        <v>46150</v>
      </c>
      <c r="H171" s="7">
        <f t="shared" ca="1" si="6"/>
        <v>863</v>
      </c>
      <c r="I171" s="5" t="str">
        <f t="shared" ca="1" si="7"/>
        <v>Tidak</v>
      </c>
    </row>
    <row r="172" spans="1:9" x14ac:dyDescent="0.3">
      <c r="A172">
        <v>170</v>
      </c>
      <c r="B172" t="s">
        <v>341</v>
      </c>
      <c r="C172" t="s">
        <v>341</v>
      </c>
      <c r="D172" s="1">
        <v>45290</v>
      </c>
      <c r="E172" t="s">
        <v>186</v>
      </c>
      <c r="F172" s="5">
        <v>365</v>
      </c>
      <c r="G172" s="6">
        <f t="shared" ca="1" si="8"/>
        <v>46150</v>
      </c>
      <c r="H172" s="7">
        <f t="shared" ca="1" si="6"/>
        <v>860</v>
      </c>
      <c r="I172" s="5" t="str">
        <f t="shared" ca="1" si="7"/>
        <v>Tidak</v>
      </c>
    </row>
    <row r="173" spans="1:9" x14ac:dyDescent="0.3">
      <c r="A173">
        <v>171</v>
      </c>
      <c r="B173" t="s">
        <v>388</v>
      </c>
      <c r="C173" t="s">
        <v>346</v>
      </c>
      <c r="D173" s="1">
        <v>45299</v>
      </c>
      <c r="E173" t="s">
        <v>175</v>
      </c>
      <c r="F173" s="5">
        <v>365</v>
      </c>
      <c r="G173" s="6">
        <f t="shared" ca="1" si="8"/>
        <v>46150</v>
      </c>
      <c r="H173" s="7">
        <f t="shared" ca="1" si="6"/>
        <v>851</v>
      </c>
      <c r="I173" s="5" t="str">
        <f t="shared" ca="1" si="7"/>
        <v>Tidak</v>
      </c>
    </row>
    <row r="174" spans="1:9" x14ac:dyDescent="0.3">
      <c r="A174">
        <v>172</v>
      </c>
      <c r="B174" t="s">
        <v>388</v>
      </c>
      <c r="C174" t="s">
        <v>349</v>
      </c>
      <c r="D174" s="1">
        <v>45299</v>
      </c>
      <c r="E174" t="s">
        <v>181</v>
      </c>
      <c r="F174" s="5">
        <v>365</v>
      </c>
      <c r="G174" s="6">
        <f t="shared" ca="1" si="8"/>
        <v>46150</v>
      </c>
      <c r="H174" s="7">
        <f t="shared" ca="1" si="6"/>
        <v>851</v>
      </c>
      <c r="I174" s="5" t="str">
        <f t="shared" ca="1" si="7"/>
        <v>Tidak</v>
      </c>
    </row>
    <row r="175" spans="1:9" x14ac:dyDescent="0.3">
      <c r="A175">
        <v>173</v>
      </c>
      <c r="B175" t="s">
        <v>367</v>
      </c>
      <c r="C175">
        <v>230573</v>
      </c>
      <c r="D175" s="1">
        <v>45300</v>
      </c>
      <c r="E175" t="s">
        <v>168</v>
      </c>
      <c r="F175" s="5">
        <v>365</v>
      </c>
      <c r="G175" s="6">
        <f t="shared" ca="1" si="8"/>
        <v>46150</v>
      </c>
      <c r="H175" s="7">
        <f t="shared" ca="1" si="6"/>
        <v>850</v>
      </c>
      <c r="I175" s="5" t="str">
        <f t="shared" ca="1" si="7"/>
        <v>Tidak</v>
      </c>
    </row>
    <row r="176" spans="1:9" x14ac:dyDescent="0.3">
      <c r="A176">
        <v>174</v>
      </c>
      <c r="B176" t="s">
        <v>388</v>
      </c>
      <c r="C176" t="s">
        <v>356</v>
      </c>
      <c r="D176" s="1">
        <v>45301</v>
      </c>
      <c r="E176" t="s">
        <v>194</v>
      </c>
      <c r="F176" s="5">
        <v>365</v>
      </c>
      <c r="G176" s="6">
        <f t="shared" ca="1" si="8"/>
        <v>46150</v>
      </c>
      <c r="H176" s="7">
        <f t="shared" ca="1" si="6"/>
        <v>849</v>
      </c>
      <c r="I176" s="5" t="str">
        <f t="shared" ca="1" si="7"/>
        <v>Tidak</v>
      </c>
    </row>
    <row r="177" spans="1:9" x14ac:dyDescent="0.3">
      <c r="A177">
        <v>175</v>
      </c>
      <c r="B177" t="s">
        <v>363</v>
      </c>
      <c r="C177">
        <v>230559</v>
      </c>
      <c r="D177" s="1">
        <v>45302</v>
      </c>
      <c r="E177" t="s">
        <v>428</v>
      </c>
      <c r="F177" s="5">
        <v>365</v>
      </c>
      <c r="G177" s="6">
        <f t="shared" ca="1" si="8"/>
        <v>46150</v>
      </c>
      <c r="H177" s="7">
        <f t="shared" ca="1" si="6"/>
        <v>848</v>
      </c>
      <c r="I177" s="5" t="str">
        <f t="shared" ca="1" si="7"/>
        <v>Tidak</v>
      </c>
    </row>
    <row r="178" spans="1:9" x14ac:dyDescent="0.3">
      <c r="A178">
        <v>176</v>
      </c>
      <c r="B178" t="s">
        <v>368</v>
      </c>
      <c r="C178">
        <v>230611</v>
      </c>
      <c r="D178" s="1">
        <v>45302</v>
      </c>
      <c r="E178" t="s">
        <v>158</v>
      </c>
      <c r="F178" s="5">
        <v>365</v>
      </c>
      <c r="G178" s="6">
        <f t="shared" ca="1" si="8"/>
        <v>46150</v>
      </c>
      <c r="H178" s="7">
        <f t="shared" ca="1" si="6"/>
        <v>848</v>
      </c>
      <c r="I178" s="5" t="str">
        <f t="shared" ca="1" si="7"/>
        <v>Tidak</v>
      </c>
    </row>
    <row r="179" spans="1:9" x14ac:dyDescent="0.3">
      <c r="A179">
        <v>177</v>
      </c>
      <c r="B179" t="s">
        <v>367</v>
      </c>
      <c r="C179">
        <v>230648</v>
      </c>
      <c r="D179" s="1">
        <v>45313</v>
      </c>
      <c r="E179" t="s">
        <v>169</v>
      </c>
      <c r="F179" s="5">
        <v>365</v>
      </c>
      <c r="G179" s="6">
        <f t="shared" ca="1" si="8"/>
        <v>46150</v>
      </c>
      <c r="H179" s="7">
        <f t="shared" ca="1" si="6"/>
        <v>837</v>
      </c>
      <c r="I179" s="5" t="str">
        <f t="shared" ca="1" si="7"/>
        <v>Tidak</v>
      </c>
    </row>
    <row r="180" spans="1:9" x14ac:dyDescent="0.3">
      <c r="A180">
        <v>178</v>
      </c>
      <c r="B180" t="s">
        <v>341</v>
      </c>
      <c r="C180" t="s">
        <v>341</v>
      </c>
      <c r="D180" s="1">
        <v>45314</v>
      </c>
      <c r="E180" t="s">
        <v>190</v>
      </c>
      <c r="F180" s="5">
        <v>365</v>
      </c>
      <c r="G180" s="6">
        <f t="shared" ca="1" si="8"/>
        <v>46150</v>
      </c>
      <c r="H180" s="7">
        <f t="shared" ca="1" si="6"/>
        <v>836</v>
      </c>
      <c r="I180" s="5" t="str">
        <f t="shared" ca="1" si="7"/>
        <v>Tidak</v>
      </c>
    </row>
    <row r="181" spans="1:9" x14ac:dyDescent="0.3">
      <c r="A181">
        <v>179</v>
      </c>
      <c r="B181" t="s">
        <v>341</v>
      </c>
      <c r="C181" t="s">
        <v>341</v>
      </c>
      <c r="D181" s="1">
        <v>45314</v>
      </c>
      <c r="E181" t="s">
        <v>190</v>
      </c>
      <c r="F181" s="5">
        <v>365</v>
      </c>
      <c r="G181" s="6">
        <f t="shared" ca="1" si="8"/>
        <v>46150</v>
      </c>
      <c r="H181" s="7">
        <f t="shared" ca="1" si="6"/>
        <v>836</v>
      </c>
      <c r="I181" s="5" t="str">
        <f t="shared" ca="1" si="7"/>
        <v>Tidak</v>
      </c>
    </row>
    <row r="182" spans="1:9" x14ac:dyDescent="0.3">
      <c r="A182">
        <v>180</v>
      </c>
      <c r="B182" t="s">
        <v>341</v>
      </c>
      <c r="C182" t="s">
        <v>341</v>
      </c>
      <c r="D182" s="1">
        <v>45314</v>
      </c>
      <c r="E182" t="s">
        <v>190</v>
      </c>
      <c r="F182" s="5">
        <v>365</v>
      </c>
      <c r="G182" s="6">
        <f t="shared" ca="1" si="8"/>
        <v>46150</v>
      </c>
      <c r="H182" s="7">
        <f t="shared" ca="1" si="6"/>
        <v>836</v>
      </c>
      <c r="I182" s="5" t="str">
        <f t="shared" ca="1" si="7"/>
        <v>Tidak</v>
      </c>
    </row>
    <row r="183" spans="1:9" x14ac:dyDescent="0.3">
      <c r="A183">
        <v>181</v>
      </c>
      <c r="B183" t="s">
        <v>364</v>
      </c>
      <c r="C183">
        <v>230164</v>
      </c>
      <c r="D183" s="1">
        <v>45316</v>
      </c>
      <c r="E183" t="s">
        <v>144</v>
      </c>
      <c r="F183" s="5">
        <v>365</v>
      </c>
      <c r="G183" s="6">
        <f t="shared" ca="1" si="8"/>
        <v>46150</v>
      </c>
      <c r="H183" s="7">
        <f t="shared" ca="1" si="6"/>
        <v>834</v>
      </c>
      <c r="I183" s="5" t="str">
        <f t="shared" ca="1" si="7"/>
        <v>Tidak</v>
      </c>
    </row>
    <row r="184" spans="1:9" x14ac:dyDescent="0.3">
      <c r="A184">
        <v>182</v>
      </c>
      <c r="B184" t="s">
        <v>381</v>
      </c>
      <c r="C184" t="s">
        <v>207</v>
      </c>
      <c r="D184" s="1">
        <v>45319</v>
      </c>
      <c r="E184" t="s">
        <v>118</v>
      </c>
      <c r="F184" s="5">
        <v>365</v>
      </c>
      <c r="G184" s="6">
        <f t="shared" ca="1" si="8"/>
        <v>46150</v>
      </c>
      <c r="H184" s="7">
        <f t="shared" ca="1" si="6"/>
        <v>831</v>
      </c>
      <c r="I184" s="5" t="str">
        <f t="shared" ca="1" si="7"/>
        <v>Tidak</v>
      </c>
    </row>
    <row r="185" spans="1:9" x14ac:dyDescent="0.3">
      <c r="A185">
        <v>183</v>
      </c>
      <c r="B185" t="s">
        <v>363</v>
      </c>
      <c r="C185">
        <v>230210</v>
      </c>
      <c r="D185" s="1">
        <v>45319</v>
      </c>
      <c r="E185" t="s">
        <v>149</v>
      </c>
      <c r="F185" s="5">
        <v>365</v>
      </c>
      <c r="G185" s="6">
        <f t="shared" ca="1" si="8"/>
        <v>46150</v>
      </c>
      <c r="H185" s="7">
        <f t="shared" ca="1" si="6"/>
        <v>831</v>
      </c>
      <c r="I185" s="5" t="str">
        <f t="shared" ca="1" si="7"/>
        <v>Tidak</v>
      </c>
    </row>
    <row r="186" spans="1:9" x14ac:dyDescent="0.3">
      <c r="A186">
        <v>184</v>
      </c>
      <c r="B186" t="s">
        <v>388</v>
      </c>
      <c r="C186" t="s">
        <v>350</v>
      </c>
      <c r="D186" s="1">
        <v>45319</v>
      </c>
      <c r="E186" t="s">
        <v>182</v>
      </c>
      <c r="F186" s="5">
        <v>365</v>
      </c>
      <c r="G186" s="6">
        <f t="shared" ca="1" si="8"/>
        <v>46150</v>
      </c>
      <c r="H186" s="7">
        <f t="shared" ca="1" si="6"/>
        <v>831</v>
      </c>
      <c r="I186" s="5" t="str">
        <f t="shared" ca="1" si="7"/>
        <v>Tidak</v>
      </c>
    </row>
    <row r="187" spans="1:9" x14ac:dyDescent="0.3">
      <c r="A187">
        <v>185</v>
      </c>
      <c r="B187" t="s">
        <v>341</v>
      </c>
      <c r="C187" t="s">
        <v>341</v>
      </c>
      <c r="D187" s="1">
        <v>45325</v>
      </c>
      <c r="E187" t="s">
        <v>195</v>
      </c>
      <c r="F187" s="5">
        <v>365</v>
      </c>
      <c r="G187" s="6">
        <f t="shared" ca="1" si="8"/>
        <v>46150</v>
      </c>
      <c r="H187" s="7">
        <f t="shared" ca="1" si="6"/>
        <v>825</v>
      </c>
      <c r="I187" s="5" t="str">
        <f t="shared" ca="1" si="7"/>
        <v>Tidak</v>
      </c>
    </row>
    <row r="188" spans="1:9" x14ac:dyDescent="0.3">
      <c r="A188">
        <v>186</v>
      </c>
      <c r="B188" t="s">
        <v>361</v>
      </c>
      <c r="C188" t="s">
        <v>207</v>
      </c>
      <c r="D188" s="1">
        <v>45331</v>
      </c>
      <c r="E188" t="s">
        <v>178</v>
      </c>
      <c r="F188" s="5">
        <v>365</v>
      </c>
      <c r="G188" s="6">
        <f t="shared" ca="1" si="8"/>
        <v>46150</v>
      </c>
      <c r="H188" s="7">
        <f t="shared" ca="1" si="6"/>
        <v>819</v>
      </c>
      <c r="I188" s="5" t="str">
        <f t="shared" ca="1" si="7"/>
        <v>Tidak</v>
      </c>
    </row>
    <row r="189" spans="1:9" x14ac:dyDescent="0.3">
      <c r="A189">
        <v>187</v>
      </c>
      <c r="B189" t="s">
        <v>364</v>
      </c>
      <c r="C189" t="s">
        <v>331</v>
      </c>
      <c r="D189" s="1">
        <v>45335</v>
      </c>
      <c r="E189" t="s">
        <v>132</v>
      </c>
      <c r="F189" s="5">
        <v>365</v>
      </c>
      <c r="G189" s="6">
        <f t="shared" ca="1" si="8"/>
        <v>46150</v>
      </c>
      <c r="H189" s="7">
        <f t="shared" ca="1" si="6"/>
        <v>815</v>
      </c>
      <c r="I189" s="5" t="str">
        <f t="shared" ca="1" si="7"/>
        <v>Tidak</v>
      </c>
    </row>
    <row r="190" spans="1:9" x14ac:dyDescent="0.3">
      <c r="A190">
        <v>188</v>
      </c>
      <c r="B190" t="s">
        <v>364</v>
      </c>
      <c r="C190">
        <v>230511</v>
      </c>
      <c r="D190" s="1">
        <v>45335</v>
      </c>
      <c r="E190" t="s">
        <v>164</v>
      </c>
      <c r="F190" s="5">
        <v>365</v>
      </c>
      <c r="G190" s="6">
        <f t="shared" ca="1" si="8"/>
        <v>46150</v>
      </c>
      <c r="H190" s="7">
        <f t="shared" ca="1" si="6"/>
        <v>815</v>
      </c>
      <c r="I190" s="5" t="str">
        <f t="shared" ca="1" si="7"/>
        <v>Tidak</v>
      </c>
    </row>
    <row r="191" spans="1:9" x14ac:dyDescent="0.3">
      <c r="A191">
        <v>189</v>
      </c>
      <c r="B191" t="s">
        <v>368</v>
      </c>
      <c r="C191">
        <v>230720</v>
      </c>
      <c r="D191" s="1">
        <v>45342</v>
      </c>
      <c r="E191" t="s">
        <v>176</v>
      </c>
      <c r="F191" s="5">
        <v>365</v>
      </c>
      <c r="G191" s="6">
        <f t="shared" ca="1" si="8"/>
        <v>46150</v>
      </c>
      <c r="H191" s="7">
        <f t="shared" ca="1" si="6"/>
        <v>808</v>
      </c>
      <c r="I191" s="5" t="str">
        <f t="shared" ca="1" si="7"/>
        <v>Tidak</v>
      </c>
    </row>
    <row r="192" spans="1:9" x14ac:dyDescent="0.3">
      <c r="A192">
        <v>190</v>
      </c>
      <c r="B192" t="s">
        <v>341</v>
      </c>
      <c r="C192" t="s">
        <v>341</v>
      </c>
      <c r="D192" s="1">
        <v>45343</v>
      </c>
      <c r="E192" t="s">
        <v>196</v>
      </c>
      <c r="F192" s="5">
        <v>365</v>
      </c>
      <c r="G192" s="6">
        <f t="shared" ca="1" si="8"/>
        <v>46150</v>
      </c>
      <c r="H192" s="7">
        <f t="shared" ca="1" si="6"/>
        <v>807</v>
      </c>
      <c r="I192" s="5" t="str">
        <f t="shared" ca="1" si="7"/>
        <v>Tidak</v>
      </c>
    </row>
    <row r="193" spans="1:9" x14ac:dyDescent="0.3">
      <c r="A193">
        <v>191</v>
      </c>
      <c r="B193" t="s">
        <v>341</v>
      </c>
      <c r="C193" t="s">
        <v>341</v>
      </c>
      <c r="D193" s="1">
        <v>45343</v>
      </c>
      <c r="E193" t="s">
        <v>202</v>
      </c>
      <c r="F193" s="5">
        <v>365</v>
      </c>
      <c r="G193" s="6">
        <f t="shared" ca="1" si="8"/>
        <v>46150</v>
      </c>
      <c r="H193" s="7">
        <f t="shared" ca="1" si="6"/>
        <v>807</v>
      </c>
      <c r="I193" s="5" t="str">
        <f t="shared" ca="1" si="7"/>
        <v>Tidak</v>
      </c>
    </row>
    <row r="194" spans="1:9" x14ac:dyDescent="0.3">
      <c r="A194">
        <v>192</v>
      </c>
      <c r="B194" t="s">
        <v>364</v>
      </c>
      <c r="C194">
        <v>230704</v>
      </c>
      <c r="D194" s="1">
        <v>45348</v>
      </c>
      <c r="E194" t="s">
        <v>174</v>
      </c>
      <c r="F194" s="5">
        <v>365</v>
      </c>
      <c r="G194" s="6">
        <f t="shared" ca="1" si="8"/>
        <v>46150</v>
      </c>
      <c r="H194" s="7">
        <f t="shared" ref="H194:H257" ca="1" si="9">G194-D194</f>
        <v>802</v>
      </c>
      <c r="I194" s="5" t="str">
        <f t="shared" ref="I194:I257" ca="1" si="10">IF(H194&gt;F194,"Tidak","Garansi")</f>
        <v>Tidak</v>
      </c>
    </row>
    <row r="195" spans="1:9" x14ac:dyDescent="0.3">
      <c r="A195">
        <v>193</v>
      </c>
      <c r="B195" t="s">
        <v>361</v>
      </c>
      <c r="C195" t="s">
        <v>207</v>
      </c>
      <c r="D195" s="1">
        <v>45351</v>
      </c>
      <c r="E195" t="s">
        <v>188</v>
      </c>
      <c r="F195" s="5">
        <v>365</v>
      </c>
      <c r="G195" s="6">
        <f t="shared" ref="G195:G258" ca="1" si="11">TODAY()</f>
        <v>46150</v>
      </c>
      <c r="H195" s="7">
        <f t="shared" ca="1" si="9"/>
        <v>799</v>
      </c>
      <c r="I195" s="5" t="str">
        <f t="shared" ca="1" si="10"/>
        <v>Tidak</v>
      </c>
    </row>
    <row r="196" spans="1:9" x14ac:dyDescent="0.3">
      <c r="A196">
        <v>194</v>
      </c>
      <c r="B196" t="s">
        <v>341</v>
      </c>
      <c r="C196" t="s">
        <v>341</v>
      </c>
      <c r="D196" s="1">
        <v>45352</v>
      </c>
      <c r="E196" t="s">
        <v>199</v>
      </c>
      <c r="F196" s="5">
        <v>365</v>
      </c>
      <c r="G196" s="6">
        <f t="shared" ca="1" si="11"/>
        <v>46150</v>
      </c>
      <c r="H196" s="7">
        <f t="shared" ca="1" si="9"/>
        <v>798</v>
      </c>
      <c r="I196" s="5" t="str">
        <f t="shared" ca="1" si="10"/>
        <v>Tidak</v>
      </c>
    </row>
    <row r="197" spans="1:9" x14ac:dyDescent="0.3">
      <c r="A197">
        <v>195</v>
      </c>
      <c r="B197" t="s">
        <v>389</v>
      </c>
      <c r="C197" t="s">
        <v>357</v>
      </c>
      <c r="D197" s="1">
        <v>45356</v>
      </c>
      <c r="E197" t="s">
        <v>197</v>
      </c>
      <c r="F197" s="5">
        <v>365</v>
      </c>
      <c r="G197" s="6">
        <f t="shared" ca="1" si="11"/>
        <v>46150</v>
      </c>
      <c r="H197" s="7">
        <f t="shared" ca="1" si="9"/>
        <v>794</v>
      </c>
      <c r="I197" s="5" t="str">
        <f t="shared" ca="1" si="10"/>
        <v>Tidak</v>
      </c>
    </row>
    <row r="198" spans="1:9" x14ac:dyDescent="0.3">
      <c r="A198">
        <v>196</v>
      </c>
      <c r="B198" t="s">
        <v>361</v>
      </c>
      <c r="C198" t="s">
        <v>207</v>
      </c>
      <c r="D198" s="1">
        <v>45358</v>
      </c>
      <c r="E198" t="s">
        <v>184</v>
      </c>
      <c r="F198" s="5">
        <v>365</v>
      </c>
      <c r="G198" s="6">
        <f t="shared" ca="1" si="11"/>
        <v>46150</v>
      </c>
      <c r="H198" s="7">
        <f t="shared" ca="1" si="9"/>
        <v>792</v>
      </c>
      <c r="I198" s="5" t="str">
        <f t="shared" ca="1" si="10"/>
        <v>Tidak</v>
      </c>
    </row>
    <row r="199" spans="1:9" x14ac:dyDescent="0.3">
      <c r="A199">
        <v>197</v>
      </c>
      <c r="B199" t="s">
        <v>341</v>
      </c>
      <c r="C199" t="s">
        <v>341</v>
      </c>
      <c r="D199" s="1">
        <v>45358</v>
      </c>
      <c r="E199" t="s">
        <v>203</v>
      </c>
      <c r="F199" s="5">
        <v>365</v>
      </c>
      <c r="G199" s="6">
        <f t="shared" ca="1" si="11"/>
        <v>46150</v>
      </c>
      <c r="H199" s="7">
        <f t="shared" ca="1" si="9"/>
        <v>792</v>
      </c>
      <c r="I199" s="5" t="str">
        <f t="shared" ca="1" si="10"/>
        <v>Tidak</v>
      </c>
    </row>
    <row r="200" spans="1:9" x14ac:dyDescent="0.3">
      <c r="A200">
        <v>198</v>
      </c>
      <c r="B200" t="s">
        <v>364</v>
      </c>
      <c r="C200">
        <v>230787</v>
      </c>
      <c r="D200" s="1">
        <v>45363</v>
      </c>
      <c r="E200" t="s">
        <v>133</v>
      </c>
      <c r="F200" s="5">
        <v>365</v>
      </c>
      <c r="G200" s="6">
        <f t="shared" ca="1" si="11"/>
        <v>46150</v>
      </c>
      <c r="H200" s="7">
        <f t="shared" ca="1" si="9"/>
        <v>787</v>
      </c>
      <c r="I200" s="5" t="str">
        <f t="shared" ca="1" si="10"/>
        <v>Tidak</v>
      </c>
    </row>
    <row r="201" spans="1:9" x14ac:dyDescent="0.3">
      <c r="A201">
        <v>199</v>
      </c>
      <c r="B201" t="s">
        <v>389</v>
      </c>
      <c r="C201" t="s">
        <v>353</v>
      </c>
      <c r="D201" s="1">
        <v>45364</v>
      </c>
      <c r="E201" t="s">
        <v>191</v>
      </c>
      <c r="F201" s="5">
        <v>365</v>
      </c>
      <c r="G201" s="6">
        <f t="shared" ca="1" si="11"/>
        <v>46150</v>
      </c>
      <c r="H201" s="7">
        <f t="shared" ca="1" si="9"/>
        <v>786</v>
      </c>
      <c r="I201" s="5" t="str">
        <f t="shared" ca="1" si="10"/>
        <v>Tidak</v>
      </c>
    </row>
    <row r="202" spans="1:9" x14ac:dyDescent="0.3">
      <c r="A202">
        <v>200</v>
      </c>
      <c r="B202" t="s">
        <v>388</v>
      </c>
      <c r="C202" t="s">
        <v>352</v>
      </c>
      <c r="D202" s="1">
        <v>45365</v>
      </c>
      <c r="E202" t="s">
        <v>189</v>
      </c>
      <c r="F202" s="5">
        <v>365</v>
      </c>
      <c r="G202" s="6">
        <f t="shared" ca="1" si="11"/>
        <v>46150</v>
      </c>
      <c r="H202" s="7">
        <f t="shared" ca="1" si="9"/>
        <v>785</v>
      </c>
      <c r="I202" s="5" t="str">
        <f t="shared" ca="1" si="10"/>
        <v>Tidak</v>
      </c>
    </row>
    <row r="203" spans="1:9" x14ac:dyDescent="0.3">
      <c r="A203">
        <v>201</v>
      </c>
      <c r="B203" t="s">
        <v>368</v>
      </c>
      <c r="C203">
        <v>230637</v>
      </c>
      <c r="D203" s="1">
        <v>45366</v>
      </c>
      <c r="E203" t="s">
        <v>55</v>
      </c>
      <c r="F203" s="5">
        <v>365</v>
      </c>
      <c r="G203" s="6">
        <f t="shared" ca="1" si="11"/>
        <v>46150</v>
      </c>
      <c r="H203" s="7">
        <f t="shared" ca="1" si="9"/>
        <v>784</v>
      </c>
      <c r="I203" s="5" t="str">
        <f t="shared" ca="1" si="10"/>
        <v>Tidak</v>
      </c>
    </row>
    <row r="204" spans="1:9" x14ac:dyDescent="0.3">
      <c r="A204">
        <v>202</v>
      </c>
      <c r="B204" t="s">
        <v>368</v>
      </c>
      <c r="C204">
        <v>230738</v>
      </c>
      <c r="D204" s="1">
        <v>45370</v>
      </c>
      <c r="E204" t="s">
        <v>173</v>
      </c>
      <c r="F204" s="5">
        <v>365</v>
      </c>
      <c r="G204" s="6">
        <f t="shared" ca="1" si="11"/>
        <v>46150</v>
      </c>
      <c r="H204" s="7">
        <f t="shared" ca="1" si="9"/>
        <v>780</v>
      </c>
      <c r="I204" s="5" t="str">
        <f t="shared" ca="1" si="10"/>
        <v>Tidak</v>
      </c>
    </row>
    <row r="205" spans="1:9" x14ac:dyDescent="0.3">
      <c r="A205">
        <v>203</v>
      </c>
      <c r="B205" t="s">
        <v>341</v>
      </c>
      <c r="C205" t="s">
        <v>341</v>
      </c>
      <c r="D205" s="1">
        <v>45373</v>
      </c>
      <c r="E205" t="s">
        <v>204</v>
      </c>
      <c r="F205" s="5">
        <v>365</v>
      </c>
      <c r="G205" s="6">
        <f t="shared" ca="1" si="11"/>
        <v>46150</v>
      </c>
      <c r="H205" s="7">
        <f t="shared" ca="1" si="9"/>
        <v>777</v>
      </c>
      <c r="I205" s="5" t="str">
        <f t="shared" ca="1" si="10"/>
        <v>Tidak</v>
      </c>
    </row>
    <row r="206" spans="1:9" x14ac:dyDescent="0.3">
      <c r="A206">
        <v>204</v>
      </c>
      <c r="B206" t="s">
        <v>365</v>
      </c>
      <c r="C206" t="s">
        <v>249</v>
      </c>
      <c r="D206" s="1">
        <v>45378</v>
      </c>
      <c r="E206" t="s">
        <v>46</v>
      </c>
      <c r="F206" s="5">
        <v>365</v>
      </c>
      <c r="G206" s="6">
        <f t="shared" ca="1" si="11"/>
        <v>46150</v>
      </c>
      <c r="H206" s="7">
        <f t="shared" ca="1" si="9"/>
        <v>772</v>
      </c>
      <c r="I206" s="5" t="str">
        <f t="shared" ca="1" si="10"/>
        <v>Tidak</v>
      </c>
    </row>
    <row r="207" spans="1:9" x14ac:dyDescent="0.3">
      <c r="A207">
        <v>205</v>
      </c>
      <c r="B207" t="s">
        <v>389</v>
      </c>
      <c r="C207" t="s">
        <v>351</v>
      </c>
      <c r="D207" s="1">
        <v>45379</v>
      </c>
      <c r="E207" t="s">
        <v>183</v>
      </c>
      <c r="F207" s="5">
        <v>365</v>
      </c>
      <c r="G207" s="6">
        <f t="shared" ca="1" si="11"/>
        <v>46150</v>
      </c>
      <c r="H207" s="7">
        <f t="shared" ca="1" si="9"/>
        <v>771</v>
      </c>
      <c r="I207" s="5" t="str">
        <f t="shared" ca="1" si="10"/>
        <v>Tidak</v>
      </c>
    </row>
    <row r="208" spans="1:9" x14ac:dyDescent="0.3">
      <c r="A208">
        <v>206</v>
      </c>
      <c r="B208" t="s">
        <v>341</v>
      </c>
      <c r="C208" t="s">
        <v>341</v>
      </c>
      <c r="D208" s="1">
        <v>45379</v>
      </c>
      <c r="E208" t="s">
        <v>205</v>
      </c>
      <c r="F208" s="5">
        <v>365</v>
      </c>
      <c r="G208" s="6">
        <f t="shared" ca="1" si="11"/>
        <v>46150</v>
      </c>
      <c r="H208" s="7">
        <f t="shared" ca="1" si="9"/>
        <v>771</v>
      </c>
      <c r="I208" s="5" t="str">
        <f t="shared" ca="1" si="10"/>
        <v>Tidak</v>
      </c>
    </row>
    <row r="209" spans="1:9" x14ac:dyDescent="0.3">
      <c r="A209">
        <v>207</v>
      </c>
      <c r="B209" t="s">
        <v>341</v>
      </c>
      <c r="C209" t="s">
        <v>341</v>
      </c>
      <c r="D209" s="1">
        <v>45386</v>
      </c>
      <c r="E209" t="s">
        <v>206</v>
      </c>
      <c r="F209" s="5">
        <v>365</v>
      </c>
      <c r="G209" s="6">
        <f t="shared" ca="1" si="11"/>
        <v>46150</v>
      </c>
      <c r="H209" s="7">
        <f t="shared" ca="1" si="9"/>
        <v>764</v>
      </c>
      <c r="I209" s="5" t="str">
        <f t="shared" ca="1" si="10"/>
        <v>Tidak</v>
      </c>
    </row>
    <row r="210" spans="1:9" x14ac:dyDescent="0.3">
      <c r="A210">
        <v>208</v>
      </c>
      <c r="B210" t="s">
        <v>388</v>
      </c>
      <c r="C210" t="s">
        <v>358</v>
      </c>
      <c r="D210" s="1">
        <v>45387</v>
      </c>
      <c r="E210" t="s">
        <v>198</v>
      </c>
      <c r="F210" s="5">
        <v>365</v>
      </c>
      <c r="G210" s="6">
        <f t="shared" ca="1" si="11"/>
        <v>46150</v>
      </c>
      <c r="H210" s="7">
        <f t="shared" ca="1" si="9"/>
        <v>763</v>
      </c>
      <c r="I210" s="5" t="str">
        <f t="shared" ca="1" si="10"/>
        <v>Tidak</v>
      </c>
    </row>
    <row r="211" spans="1:9" x14ac:dyDescent="0.3">
      <c r="A211">
        <v>209</v>
      </c>
      <c r="B211" t="s">
        <v>361</v>
      </c>
      <c r="C211" t="s">
        <v>535</v>
      </c>
      <c r="D211" s="1">
        <v>45387</v>
      </c>
      <c r="E211" t="s">
        <v>201</v>
      </c>
      <c r="F211" s="5">
        <v>365</v>
      </c>
      <c r="G211" s="6">
        <f t="shared" ca="1" si="11"/>
        <v>46150</v>
      </c>
      <c r="H211" s="7">
        <f t="shared" ca="1" si="9"/>
        <v>763</v>
      </c>
      <c r="I211" s="5" t="str">
        <f t="shared" ca="1" si="10"/>
        <v>Tidak</v>
      </c>
    </row>
    <row r="212" spans="1:9" x14ac:dyDescent="0.3">
      <c r="A212">
        <v>210</v>
      </c>
      <c r="B212" t="s">
        <v>364</v>
      </c>
      <c r="C212">
        <v>230882</v>
      </c>
      <c r="D212" s="1">
        <v>45388</v>
      </c>
      <c r="E212" t="s">
        <v>171</v>
      </c>
      <c r="F212" s="5">
        <v>365</v>
      </c>
      <c r="G212" s="6">
        <f t="shared" ca="1" si="11"/>
        <v>46150</v>
      </c>
      <c r="H212" s="7">
        <f t="shared" ca="1" si="9"/>
        <v>762</v>
      </c>
      <c r="I212" s="5" t="str">
        <f t="shared" ca="1" si="10"/>
        <v>Tidak</v>
      </c>
    </row>
    <row r="213" spans="1:9" x14ac:dyDescent="0.3">
      <c r="A213">
        <v>211</v>
      </c>
      <c r="B213" t="s">
        <v>364</v>
      </c>
      <c r="C213" t="s">
        <v>355</v>
      </c>
      <c r="D213" s="1">
        <v>45405</v>
      </c>
      <c r="E213" t="s">
        <v>193</v>
      </c>
      <c r="F213" s="5">
        <v>365</v>
      </c>
      <c r="G213" s="6">
        <f t="shared" ca="1" si="11"/>
        <v>46150</v>
      </c>
      <c r="H213" s="7">
        <f t="shared" ca="1" si="9"/>
        <v>745</v>
      </c>
      <c r="I213" s="5" t="str">
        <f t="shared" ca="1" si="10"/>
        <v>Tidak</v>
      </c>
    </row>
    <row r="214" spans="1:9" x14ac:dyDescent="0.3">
      <c r="A214">
        <v>212</v>
      </c>
      <c r="B214" t="s">
        <v>389</v>
      </c>
      <c r="C214" t="s">
        <v>354</v>
      </c>
      <c r="D214" s="1">
        <v>45405</v>
      </c>
      <c r="E214" t="s">
        <v>192</v>
      </c>
      <c r="F214" s="5">
        <v>365</v>
      </c>
      <c r="G214" s="6">
        <f t="shared" ca="1" si="11"/>
        <v>46150</v>
      </c>
      <c r="H214" s="7">
        <f t="shared" ca="1" si="9"/>
        <v>745</v>
      </c>
      <c r="I214" s="5" t="str">
        <f t="shared" ca="1" si="10"/>
        <v>Tidak</v>
      </c>
    </row>
    <row r="215" spans="1:9" x14ac:dyDescent="0.3">
      <c r="A215">
        <v>213</v>
      </c>
      <c r="B215" t="s">
        <v>341</v>
      </c>
      <c r="C215" t="s">
        <v>341</v>
      </c>
      <c r="D215" s="1">
        <v>45407</v>
      </c>
      <c r="E215" t="s">
        <v>170</v>
      </c>
      <c r="F215" s="5">
        <v>365</v>
      </c>
      <c r="G215" s="6">
        <f t="shared" ca="1" si="11"/>
        <v>46150</v>
      </c>
      <c r="H215" s="7">
        <f t="shared" ca="1" si="9"/>
        <v>743</v>
      </c>
      <c r="I215" s="5" t="str">
        <f t="shared" ca="1" si="10"/>
        <v>Tidak</v>
      </c>
    </row>
    <row r="216" spans="1:9" x14ac:dyDescent="0.3">
      <c r="A216">
        <v>214</v>
      </c>
      <c r="B216" t="s">
        <v>341</v>
      </c>
      <c r="C216" t="s">
        <v>341</v>
      </c>
      <c r="D216" s="1">
        <v>45415</v>
      </c>
      <c r="E216" t="s">
        <v>429</v>
      </c>
      <c r="F216" s="5">
        <v>365</v>
      </c>
      <c r="G216" s="6">
        <f t="shared" ca="1" si="11"/>
        <v>46150</v>
      </c>
      <c r="H216" s="7">
        <f t="shared" ca="1" si="9"/>
        <v>735</v>
      </c>
      <c r="I216" s="5" t="str">
        <f t="shared" ca="1" si="10"/>
        <v>Tidak</v>
      </c>
    </row>
    <row r="217" spans="1:9" x14ac:dyDescent="0.3">
      <c r="A217">
        <v>215</v>
      </c>
      <c r="B217" t="s">
        <v>341</v>
      </c>
      <c r="C217" t="s">
        <v>341</v>
      </c>
      <c r="D217" s="1">
        <v>45415</v>
      </c>
      <c r="E217" t="s">
        <v>430</v>
      </c>
      <c r="F217" s="5">
        <v>365</v>
      </c>
      <c r="G217" s="6">
        <f t="shared" ca="1" si="11"/>
        <v>46150</v>
      </c>
      <c r="H217" s="7">
        <f t="shared" ca="1" si="9"/>
        <v>735</v>
      </c>
      <c r="I217" s="5" t="str">
        <f t="shared" ca="1" si="10"/>
        <v>Tidak</v>
      </c>
    </row>
    <row r="218" spans="1:9" x14ac:dyDescent="0.3">
      <c r="A218">
        <v>216</v>
      </c>
      <c r="B218" t="s">
        <v>368</v>
      </c>
      <c r="C218">
        <v>230304</v>
      </c>
      <c r="D218" s="1">
        <v>45418</v>
      </c>
      <c r="E218" t="s">
        <v>431</v>
      </c>
      <c r="F218" s="5">
        <v>365</v>
      </c>
      <c r="G218" s="6">
        <f t="shared" ca="1" si="11"/>
        <v>46150</v>
      </c>
      <c r="H218" s="7">
        <f t="shared" ca="1" si="9"/>
        <v>732</v>
      </c>
      <c r="I218" s="5" t="str">
        <f t="shared" ca="1" si="10"/>
        <v>Tidak</v>
      </c>
    </row>
    <row r="219" spans="1:9" x14ac:dyDescent="0.3">
      <c r="A219">
        <v>217</v>
      </c>
      <c r="B219" t="s">
        <v>341</v>
      </c>
      <c r="C219" t="s">
        <v>341</v>
      </c>
      <c r="D219" s="1">
        <v>45420</v>
      </c>
      <c r="E219" t="s">
        <v>432</v>
      </c>
      <c r="F219" s="5">
        <v>365</v>
      </c>
      <c r="G219" s="6">
        <f t="shared" ca="1" si="11"/>
        <v>46150</v>
      </c>
      <c r="H219" s="7">
        <f t="shared" ca="1" si="9"/>
        <v>730</v>
      </c>
      <c r="I219" s="5" t="str">
        <f t="shared" ca="1" si="10"/>
        <v>Tidak</v>
      </c>
    </row>
    <row r="220" spans="1:9" x14ac:dyDescent="0.3">
      <c r="A220">
        <v>218</v>
      </c>
      <c r="B220" t="s">
        <v>341</v>
      </c>
      <c r="C220" t="s">
        <v>341</v>
      </c>
      <c r="D220" s="1">
        <v>45421</v>
      </c>
      <c r="E220" t="s">
        <v>433</v>
      </c>
      <c r="F220" s="5">
        <v>365</v>
      </c>
      <c r="G220" s="6">
        <f t="shared" ca="1" si="11"/>
        <v>46150</v>
      </c>
      <c r="H220" s="7">
        <f t="shared" ca="1" si="9"/>
        <v>729</v>
      </c>
      <c r="I220" s="5" t="str">
        <f t="shared" ca="1" si="10"/>
        <v>Tidak</v>
      </c>
    </row>
    <row r="221" spans="1:9" x14ac:dyDescent="0.3">
      <c r="A221">
        <v>219</v>
      </c>
      <c r="B221" t="s">
        <v>361</v>
      </c>
      <c r="C221" t="s">
        <v>536</v>
      </c>
      <c r="D221" s="1">
        <v>45427</v>
      </c>
      <c r="E221" t="s">
        <v>434</v>
      </c>
      <c r="F221" s="5">
        <v>365</v>
      </c>
      <c r="G221" s="6">
        <f t="shared" ca="1" si="11"/>
        <v>46150</v>
      </c>
      <c r="H221" s="7">
        <f t="shared" ca="1" si="9"/>
        <v>723</v>
      </c>
      <c r="I221" s="5" t="str">
        <f t="shared" ca="1" si="10"/>
        <v>Tidak</v>
      </c>
    </row>
    <row r="222" spans="1:9" x14ac:dyDescent="0.3">
      <c r="A222">
        <v>220</v>
      </c>
      <c r="B222" t="s">
        <v>388</v>
      </c>
      <c r="C222" t="s">
        <v>537</v>
      </c>
      <c r="D222" s="1">
        <v>45427</v>
      </c>
      <c r="E222" t="s">
        <v>435</v>
      </c>
      <c r="F222" s="5">
        <v>365</v>
      </c>
      <c r="G222" s="6">
        <f t="shared" ca="1" si="11"/>
        <v>46150</v>
      </c>
      <c r="H222" s="7">
        <f t="shared" ca="1" si="9"/>
        <v>723</v>
      </c>
      <c r="I222" s="5" t="str">
        <f t="shared" ca="1" si="10"/>
        <v>Tidak</v>
      </c>
    </row>
    <row r="223" spans="1:9" x14ac:dyDescent="0.3">
      <c r="A223">
        <v>221</v>
      </c>
      <c r="B223" t="s">
        <v>368</v>
      </c>
      <c r="C223">
        <v>2023816</v>
      </c>
      <c r="D223" s="1">
        <v>45429</v>
      </c>
      <c r="E223" t="s">
        <v>436</v>
      </c>
      <c r="F223" s="5">
        <v>365</v>
      </c>
      <c r="G223" s="6">
        <f t="shared" ca="1" si="11"/>
        <v>46150</v>
      </c>
      <c r="H223" s="7">
        <f t="shared" ca="1" si="9"/>
        <v>721</v>
      </c>
      <c r="I223" s="5" t="str">
        <f t="shared" ca="1" si="10"/>
        <v>Tidak</v>
      </c>
    </row>
    <row r="224" spans="1:9" x14ac:dyDescent="0.3">
      <c r="A224">
        <v>222</v>
      </c>
      <c r="B224" t="s">
        <v>361</v>
      </c>
      <c r="C224" t="s">
        <v>538</v>
      </c>
      <c r="D224" s="1">
        <v>45433</v>
      </c>
      <c r="E224" t="s">
        <v>437</v>
      </c>
      <c r="F224" s="5">
        <v>365</v>
      </c>
      <c r="G224" s="6">
        <f t="shared" ca="1" si="11"/>
        <v>46150</v>
      </c>
      <c r="H224" s="7">
        <f t="shared" ca="1" si="9"/>
        <v>717</v>
      </c>
      <c r="I224" s="5" t="str">
        <f t="shared" ca="1" si="10"/>
        <v>Tidak</v>
      </c>
    </row>
    <row r="225" spans="1:9" x14ac:dyDescent="0.3">
      <c r="A225">
        <v>223</v>
      </c>
      <c r="B225" t="s">
        <v>341</v>
      </c>
      <c r="C225" t="s">
        <v>341</v>
      </c>
      <c r="D225" s="1">
        <v>45437</v>
      </c>
      <c r="E225" t="s">
        <v>438</v>
      </c>
      <c r="F225" s="5">
        <v>365</v>
      </c>
      <c r="G225" s="6">
        <f t="shared" ca="1" si="11"/>
        <v>46150</v>
      </c>
      <c r="H225" s="7">
        <f t="shared" ca="1" si="9"/>
        <v>713</v>
      </c>
      <c r="I225" s="5" t="str">
        <f t="shared" ca="1" si="10"/>
        <v>Tidak</v>
      </c>
    </row>
    <row r="226" spans="1:9" x14ac:dyDescent="0.3">
      <c r="A226">
        <v>224</v>
      </c>
      <c r="B226" t="s">
        <v>368</v>
      </c>
      <c r="C226">
        <v>230811</v>
      </c>
      <c r="D226" s="1">
        <v>45454</v>
      </c>
      <c r="E226" t="s">
        <v>439</v>
      </c>
      <c r="F226" s="5">
        <v>365</v>
      </c>
      <c r="G226" s="6">
        <f t="shared" ca="1" si="11"/>
        <v>46150</v>
      </c>
      <c r="H226" s="7">
        <f t="shared" ca="1" si="9"/>
        <v>696</v>
      </c>
      <c r="I226" s="5" t="str">
        <f t="shared" ca="1" si="10"/>
        <v>Tidak</v>
      </c>
    </row>
    <row r="227" spans="1:9" x14ac:dyDescent="0.3">
      <c r="A227">
        <v>225</v>
      </c>
      <c r="B227" t="s">
        <v>389</v>
      </c>
      <c r="C227" t="s">
        <v>539</v>
      </c>
      <c r="D227" s="1">
        <v>45458</v>
      </c>
      <c r="E227" t="s">
        <v>440</v>
      </c>
      <c r="F227" s="5">
        <v>365</v>
      </c>
      <c r="G227" s="6">
        <f t="shared" ca="1" si="11"/>
        <v>46150</v>
      </c>
      <c r="H227" s="7">
        <f t="shared" ca="1" si="9"/>
        <v>692</v>
      </c>
      <c r="I227" s="5" t="str">
        <f t="shared" ca="1" si="10"/>
        <v>Tidak</v>
      </c>
    </row>
    <row r="228" spans="1:9" x14ac:dyDescent="0.3">
      <c r="A228">
        <v>226</v>
      </c>
      <c r="B228" t="s">
        <v>389</v>
      </c>
      <c r="C228" t="s">
        <v>540</v>
      </c>
      <c r="D228" s="1">
        <v>45458</v>
      </c>
      <c r="E228" t="s">
        <v>441</v>
      </c>
      <c r="F228" s="5">
        <v>365</v>
      </c>
      <c r="G228" s="6">
        <f t="shared" ca="1" si="11"/>
        <v>46150</v>
      </c>
      <c r="H228" s="7">
        <f t="shared" ca="1" si="9"/>
        <v>692</v>
      </c>
      <c r="I228" s="5" t="str">
        <f t="shared" ca="1" si="10"/>
        <v>Tidak</v>
      </c>
    </row>
    <row r="229" spans="1:9" x14ac:dyDescent="0.3">
      <c r="A229">
        <v>227</v>
      </c>
      <c r="B229" t="s">
        <v>368</v>
      </c>
      <c r="C229">
        <v>230718</v>
      </c>
      <c r="D229" s="1">
        <v>45465</v>
      </c>
      <c r="E229" t="s">
        <v>442</v>
      </c>
      <c r="F229" s="5">
        <v>365</v>
      </c>
      <c r="G229" s="6">
        <f t="shared" ca="1" si="11"/>
        <v>46150</v>
      </c>
      <c r="H229" s="7">
        <f t="shared" ca="1" si="9"/>
        <v>685</v>
      </c>
      <c r="I229" s="5" t="str">
        <f t="shared" ca="1" si="10"/>
        <v>Tidak</v>
      </c>
    </row>
    <row r="230" spans="1:9" x14ac:dyDescent="0.3">
      <c r="A230">
        <v>228</v>
      </c>
      <c r="B230" t="s">
        <v>361</v>
      </c>
      <c r="C230" t="s">
        <v>541</v>
      </c>
      <c r="D230" s="1">
        <v>45468</v>
      </c>
      <c r="E230" t="s">
        <v>443</v>
      </c>
      <c r="F230" s="5">
        <v>365</v>
      </c>
      <c r="G230" s="6">
        <f t="shared" ca="1" si="11"/>
        <v>46150</v>
      </c>
      <c r="H230" s="7">
        <f t="shared" ca="1" si="9"/>
        <v>682</v>
      </c>
      <c r="I230" s="5" t="str">
        <f t="shared" ca="1" si="10"/>
        <v>Tidak</v>
      </c>
    </row>
    <row r="231" spans="1:9" x14ac:dyDescent="0.3">
      <c r="A231">
        <v>229</v>
      </c>
      <c r="B231" t="s">
        <v>368</v>
      </c>
      <c r="C231">
        <v>240137</v>
      </c>
      <c r="D231" s="1">
        <v>45475</v>
      </c>
      <c r="E231" t="s">
        <v>444</v>
      </c>
      <c r="F231" s="5">
        <v>365</v>
      </c>
      <c r="G231" s="6">
        <f t="shared" ca="1" si="11"/>
        <v>46150</v>
      </c>
      <c r="H231" s="7">
        <f t="shared" ca="1" si="9"/>
        <v>675</v>
      </c>
      <c r="I231" s="5" t="str">
        <f t="shared" ca="1" si="10"/>
        <v>Tidak</v>
      </c>
    </row>
    <row r="232" spans="1:9" x14ac:dyDescent="0.3">
      <c r="A232">
        <v>230</v>
      </c>
      <c r="B232" t="s">
        <v>341</v>
      </c>
      <c r="C232" t="s">
        <v>341</v>
      </c>
      <c r="D232" s="1">
        <v>45475</v>
      </c>
      <c r="E232" t="s">
        <v>445</v>
      </c>
      <c r="F232" s="5">
        <v>365</v>
      </c>
      <c r="G232" s="6">
        <f t="shared" ca="1" si="11"/>
        <v>46150</v>
      </c>
      <c r="H232" s="7">
        <f t="shared" ca="1" si="9"/>
        <v>675</v>
      </c>
      <c r="I232" s="5" t="str">
        <f t="shared" ca="1" si="10"/>
        <v>Tidak</v>
      </c>
    </row>
    <row r="233" spans="1:9" x14ac:dyDescent="0.3">
      <c r="A233">
        <v>231</v>
      </c>
      <c r="B233" t="s">
        <v>364</v>
      </c>
      <c r="C233">
        <v>230723</v>
      </c>
      <c r="D233" s="1">
        <v>45483</v>
      </c>
      <c r="E233" t="s">
        <v>165</v>
      </c>
      <c r="F233" s="5">
        <v>365</v>
      </c>
      <c r="G233" s="6">
        <f t="shared" ca="1" si="11"/>
        <v>46150</v>
      </c>
      <c r="H233" s="7">
        <f t="shared" ca="1" si="9"/>
        <v>667</v>
      </c>
      <c r="I233" s="5" t="str">
        <f t="shared" ca="1" si="10"/>
        <v>Tidak</v>
      </c>
    </row>
    <row r="234" spans="1:9" x14ac:dyDescent="0.3">
      <c r="A234">
        <v>232</v>
      </c>
      <c r="B234" t="s">
        <v>361</v>
      </c>
      <c r="C234" t="s">
        <v>542</v>
      </c>
      <c r="D234" s="1">
        <v>45483</v>
      </c>
      <c r="E234" t="s">
        <v>446</v>
      </c>
      <c r="F234" s="5">
        <v>365</v>
      </c>
      <c r="G234" s="6">
        <f t="shared" ca="1" si="11"/>
        <v>46150</v>
      </c>
      <c r="H234" s="7">
        <f t="shared" ca="1" si="9"/>
        <v>667</v>
      </c>
      <c r="I234" s="5" t="str">
        <f t="shared" ca="1" si="10"/>
        <v>Tidak</v>
      </c>
    </row>
    <row r="235" spans="1:9" x14ac:dyDescent="0.3">
      <c r="A235">
        <v>233</v>
      </c>
      <c r="B235" t="s">
        <v>389</v>
      </c>
      <c r="C235" t="s">
        <v>543</v>
      </c>
      <c r="D235" s="1">
        <v>45483</v>
      </c>
      <c r="E235" t="s">
        <v>447</v>
      </c>
      <c r="F235" s="5">
        <v>365</v>
      </c>
      <c r="G235" s="6">
        <f t="shared" ca="1" si="11"/>
        <v>46150</v>
      </c>
      <c r="H235" s="7">
        <f t="shared" ca="1" si="9"/>
        <v>667</v>
      </c>
      <c r="I235" s="5" t="str">
        <f t="shared" ca="1" si="10"/>
        <v>Tidak</v>
      </c>
    </row>
    <row r="236" spans="1:9" x14ac:dyDescent="0.3">
      <c r="A236">
        <v>234</v>
      </c>
      <c r="B236" t="s">
        <v>367</v>
      </c>
      <c r="C236">
        <v>230613</v>
      </c>
      <c r="D236" s="1">
        <v>45489</v>
      </c>
      <c r="E236" t="s">
        <v>448</v>
      </c>
      <c r="F236" s="5">
        <v>365</v>
      </c>
      <c r="G236" s="6">
        <f t="shared" ca="1" si="11"/>
        <v>46150</v>
      </c>
      <c r="H236" s="7">
        <f t="shared" ca="1" si="9"/>
        <v>661</v>
      </c>
      <c r="I236" s="5" t="str">
        <f t="shared" ca="1" si="10"/>
        <v>Tidak</v>
      </c>
    </row>
    <row r="237" spans="1:9" x14ac:dyDescent="0.3">
      <c r="A237">
        <v>235</v>
      </c>
      <c r="B237" t="s">
        <v>368</v>
      </c>
      <c r="C237">
        <v>230615</v>
      </c>
      <c r="D237" s="1">
        <v>45489</v>
      </c>
      <c r="E237" t="s">
        <v>449</v>
      </c>
      <c r="F237" s="5">
        <v>365</v>
      </c>
      <c r="G237" s="6">
        <f t="shared" ca="1" si="11"/>
        <v>46150</v>
      </c>
      <c r="H237" s="7">
        <f t="shared" ca="1" si="9"/>
        <v>661</v>
      </c>
      <c r="I237" s="5" t="str">
        <f t="shared" ca="1" si="10"/>
        <v>Tidak</v>
      </c>
    </row>
    <row r="238" spans="1:9" x14ac:dyDescent="0.3">
      <c r="A238">
        <v>236</v>
      </c>
      <c r="B238" t="s">
        <v>531</v>
      </c>
      <c r="C238">
        <v>230594</v>
      </c>
      <c r="D238" s="1">
        <v>45490</v>
      </c>
      <c r="E238" t="s">
        <v>450</v>
      </c>
      <c r="F238" s="5">
        <v>365</v>
      </c>
      <c r="G238" s="6">
        <f t="shared" ca="1" si="11"/>
        <v>46150</v>
      </c>
      <c r="H238" s="7">
        <f t="shared" ca="1" si="9"/>
        <v>660</v>
      </c>
      <c r="I238" s="5" t="str">
        <f t="shared" ca="1" si="10"/>
        <v>Tidak</v>
      </c>
    </row>
    <row r="239" spans="1:9" x14ac:dyDescent="0.3">
      <c r="A239">
        <v>237</v>
      </c>
      <c r="B239" t="s">
        <v>388</v>
      </c>
      <c r="C239" t="s">
        <v>544</v>
      </c>
      <c r="D239" s="1">
        <v>45492</v>
      </c>
      <c r="E239" t="s">
        <v>451</v>
      </c>
      <c r="F239" s="5">
        <v>365</v>
      </c>
      <c r="G239" s="6">
        <f t="shared" ca="1" si="11"/>
        <v>46150</v>
      </c>
      <c r="H239" s="7">
        <f t="shared" ca="1" si="9"/>
        <v>658</v>
      </c>
      <c r="I239" s="5" t="str">
        <f t="shared" ca="1" si="10"/>
        <v>Tidak</v>
      </c>
    </row>
    <row r="240" spans="1:9" x14ac:dyDescent="0.3">
      <c r="A240">
        <v>238</v>
      </c>
      <c r="B240" t="s">
        <v>368</v>
      </c>
      <c r="C240">
        <v>230892</v>
      </c>
      <c r="D240" s="1">
        <v>45502</v>
      </c>
      <c r="E240" t="s">
        <v>452</v>
      </c>
      <c r="F240" s="5">
        <v>365</v>
      </c>
      <c r="G240" s="6">
        <f t="shared" ca="1" si="11"/>
        <v>46150</v>
      </c>
      <c r="H240" s="7">
        <f t="shared" ca="1" si="9"/>
        <v>648</v>
      </c>
      <c r="I240" s="5" t="str">
        <f t="shared" ca="1" si="10"/>
        <v>Tidak</v>
      </c>
    </row>
    <row r="241" spans="1:9" x14ac:dyDescent="0.3">
      <c r="A241">
        <v>239</v>
      </c>
      <c r="B241" t="s">
        <v>388</v>
      </c>
      <c r="C241" t="s">
        <v>545</v>
      </c>
      <c r="D241" s="1">
        <v>45507</v>
      </c>
      <c r="E241" t="s">
        <v>453</v>
      </c>
      <c r="F241" s="5">
        <v>365</v>
      </c>
      <c r="G241" s="6">
        <f t="shared" ca="1" si="11"/>
        <v>46150</v>
      </c>
      <c r="H241" s="7">
        <f t="shared" ca="1" si="9"/>
        <v>643</v>
      </c>
      <c r="I241" s="5" t="str">
        <f t="shared" ca="1" si="10"/>
        <v>Tidak</v>
      </c>
    </row>
    <row r="242" spans="1:9" x14ac:dyDescent="0.3">
      <c r="A242">
        <v>240</v>
      </c>
      <c r="B242" t="s">
        <v>389</v>
      </c>
      <c r="C242" t="s">
        <v>546</v>
      </c>
      <c r="D242" s="1">
        <v>45511</v>
      </c>
      <c r="E242" t="s">
        <v>454</v>
      </c>
      <c r="F242" s="5">
        <v>365</v>
      </c>
      <c r="G242" s="6">
        <f t="shared" ca="1" si="11"/>
        <v>46150</v>
      </c>
      <c r="H242" s="7">
        <f t="shared" ca="1" si="9"/>
        <v>639</v>
      </c>
      <c r="I242" s="5" t="str">
        <f t="shared" ca="1" si="10"/>
        <v>Tidak</v>
      </c>
    </row>
    <row r="243" spans="1:9" x14ac:dyDescent="0.3">
      <c r="A243">
        <v>241</v>
      </c>
      <c r="B243" t="s">
        <v>363</v>
      </c>
      <c r="C243">
        <v>230929</v>
      </c>
      <c r="D243" s="1">
        <v>45514</v>
      </c>
      <c r="E243" t="s">
        <v>455</v>
      </c>
      <c r="F243" s="5">
        <v>365</v>
      </c>
      <c r="G243" s="6">
        <f t="shared" ca="1" si="11"/>
        <v>46150</v>
      </c>
      <c r="H243" s="7">
        <f t="shared" ca="1" si="9"/>
        <v>636</v>
      </c>
      <c r="I243" s="5" t="str">
        <f t="shared" ca="1" si="10"/>
        <v>Tidak</v>
      </c>
    </row>
    <row r="244" spans="1:9" x14ac:dyDescent="0.3">
      <c r="A244">
        <v>242</v>
      </c>
      <c r="B244" t="s">
        <v>368</v>
      </c>
      <c r="C244">
        <v>240193</v>
      </c>
      <c r="D244" s="1">
        <v>45520</v>
      </c>
      <c r="E244" t="s">
        <v>200</v>
      </c>
      <c r="F244" s="5">
        <v>365</v>
      </c>
      <c r="G244" s="6">
        <f t="shared" ca="1" si="11"/>
        <v>46150</v>
      </c>
      <c r="H244" s="7">
        <f t="shared" ca="1" si="9"/>
        <v>630</v>
      </c>
      <c r="I244" s="5" t="str">
        <f t="shared" ca="1" si="10"/>
        <v>Tidak</v>
      </c>
    </row>
    <row r="245" spans="1:9" x14ac:dyDescent="0.3">
      <c r="A245">
        <v>243</v>
      </c>
      <c r="B245" t="s">
        <v>341</v>
      </c>
      <c r="C245" t="s">
        <v>341</v>
      </c>
      <c r="D245" s="1">
        <v>45520</v>
      </c>
      <c r="E245" t="s">
        <v>456</v>
      </c>
      <c r="F245" s="5">
        <v>365</v>
      </c>
      <c r="G245" s="6">
        <f t="shared" ca="1" si="11"/>
        <v>46150</v>
      </c>
      <c r="H245" s="7">
        <f t="shared" ca="1" si="9"/>
        <v>630</v>
      </c>
      <c r="I245" s="5" t="str">
        <f t="shared" ca="1" si="10"/>
        <v>Tidak</v>
      </c>
    </row>
    <row r="246" spans="1:9" x14ac:dyDescent="0.3">
      <c r="A246">
        <v>244</v>
      </c>
      <c r="B246" t="s">
        <v>368</v>
      </c>
      <c r="C246">
        <v>240244</v>
      </c>
      <c r="D246" s="1">
        <v>45531</v>
      </c>
      <c r="E246" t="s">
        <v>457</v>
      </c>
      <c r="F246" s="5">
        <v>365</v>
      </c>
      <c r="G246" s="6">
        <f t="shared" ca="1" si="11"/>
        <v>46150</v>
      </c>
      <c r="H246" s="7">
        <f t="shared" ca="1" si="9"/>
        <v>619</v>
      </c>
      <c r="I246" s="5" t="str">
        <f t="shared" ca="1" si="10"/>
        <v>Tidak</v>
      </c>
    </row>
    <row r="247" spans="1:9" x14ac:dyDescent="0.3">
      <c r="A247">
        <v>245</v>
      </c>
      <c r="B247" t="s">
        <v>368</v>
      </c>
      <c r="C247">
        <v>230877</v>
      </c>
      <c r="D247" s="1">
        <v>45532</v>
      </c>
      <c r="E247" t="s">
        <v>458</v>
      </c>
      <c r="F247" s="5">
        <v>365</v>
      </c>
      <c r="G247" s="6">
        <f t="shared" ca="1" si="11"/>
        <v>46150</v>
      </c>
      <c r="H247" s="7">
        <f t="shared" ca="1" si="9"/>
        <v>618</v>
      </c>
      <c r="I247" s="5" t="str">
        <f t="shared" ca="1" si="10"/>
        <v>Tidak</v>
      </c>
    </row>
    <row r="248" spans="1:9" x14ac:dyDescent="0.3">
      <c r="A248">
        <v>246</v>
      </c>
      <c r="B248" t="s">
        <v>388</v>
      </c>
      <c r="C248" t="s">
        <v>547</v>
      </c>
      <c r="D248" s="1">
        <v>45532</v>
      </c>
      <c r="E248" t="s">
        <v>459</v>
      </c>
      <c r="F248" s="5">
        <v>365</v>
      </c>
      <c r="G248" s="6">
        <f t="shared" ca="1" si="11"/>
        <v>46150</v>
      </c>
      <c r="H248" s="7">
        <f t="shared" ca="1" si="9"/>
        <v>618</v>
      </c>
      <c r="I248" s="5" t="str">
        <f t="shared" ca="1" si="10"/>
        <v>Tidak</v>
      </c>
    </row>
    <row r="249" spans="1:9" x14ac:dyDescent="0.3">
      <c r="A249">
        <v>247</v>
      </c>
      <c r="B249" t="s">
        <v>389</v>
      </c>
      <c r="C249" t="s">
        <v>548</v>
      </c>
      <c r="D249" s="1">
        <v>45534</v>
      </c>
      <c r="E249" t="s">
        <v>460</v>
      </c>
      <c r="F249" s="5">
        <v>365</v>
      </c>
      <c r="G249" s="6">
        <f t="shared" ca="1" si="11"/>
        <v>46150</v>
      </c>
      <c r="H249" s="7">
        <f t="shared" ca="1" si="9"/>
        <v>616</v>
      </c>
      <c r="I249" s="5" t="str">
        <f t="shared" ca="1" si="10"/>
        <v>Tidak</v>
      </c>
    </row>
    <row r="250" spans="1:9" x14ac:dyDescent="0.3">
      <c r="A250">
        <v>248</v>
      </c>
      <c r="B250" t="s">
        <v>341</v>
      </c>
      <c r="C250" t="s">
        <v>341</v>
      </c>
      <c r="D250" s="1">
        <v>45538</v>
      </c>
      <c r="E250" t="s">
        <v>461</v>
      </c>
      <c r="F250" s="5">
        <v>365</v>
      </c>
      <c r="G250" s="6">
        <f t="shared" ca="1" si="11"/>
        <v>46150</v>
      </c>
      <c r="H250" s="7">
        <f t="shared" ca="1" si="9"/>
        <v>612</v>
      </c>
      <c r="I250" s="5" t="str">
        <f t="shared" ca="1" si="10"/>
        <v>Tidak</v>
      </c>
    </row>
    <row r="251" spans="1:9" x14ac:dyDescent="0.3">
      <c r="A251">
        <v>249</v>
      </c>
      <c r="B251" t="s">
        <v>388</v>
      </c>
      <c r="C251" t="s">
        <v>549</v>
      </c>
      <c r="D251" s="1">
        <v>45540</v>
      </c>
      <c r="E251" t="s">
        <v>462</v>
      </c>
      <c r="F251" s="5">
        <v>365</v>
      </c>
      <c r="G251" s="6">
        <f t="shared" ca="1" si="11"/>
        <v>46150</v>
      </c>
      <c r="H251" s="7">
        <f t="shared" ca="1" si="9"/>
        <v>610</v>
      </c>
      <c r="I251" s="5" t="str">
        <f t="shared" ca="1" si="10"/>
        <v>Tidak</v>
      </c>
    </row>
    <row r="252" spans="1:9" x14ac:dyDescent="0.3">
      <c r="A252">
        <v>250</v>
      </c>
      <c r="B252" t="s">
        <v>376</v>
      </c>
      <c r="C252" t="s">
        <v>550</v>
      </c>
      <c r="D252" s="1">
        <v>45545</v>
      </c>
      <c r="E252" t="s">
        <v>463</v>
      </c>
      <c r="F252" s="5">
        <v>365</v>
      </c>
      <c r="G252" s="6">
        <f t="shared" ca="1" si="11"/>
        <v>46150</v>
      </c>
      <c r="H252" s="7">
        <f t="shared" ca="1" si="9"/>
        <v>605</v>
      </c>
      <c r="I252" s="5" t="str">
        <f t="shared" ca="1" si="10"/>
        <v>Tidak</v>
      </c>
    </row>
    <row r="253" spans="1:9" x14ac:dyDescent="0.3">
      <c r="A253">
        <v>251</v>
      </c>
      <c r="B253" t="s">
        <v>388</v>
      </c>
      <c r="C253" t="s">
        <v>551</v>
      </c>
      <c r="D253" s="1">
        <v>45547</v>
      </c>
      <c r="E253" t="s">
        <v>464</v>
      </c>
      <c r="F253" s="5">
        <v>365</v>
      </c>
      <c r="G253" s="6">
        <f t="shared" ca="1" si="11"/>
        <v>46150</v>
      </c>
      <c r="H253" s="7">
        <f t="shared" ca="1" si="9"/>
        <v>603</v>
      </c>
      <c r="I253" s="5" t="str">
        <f t="shared" ca="1" si="10"/>
        <v>Tidak</v>
      </c>
    </row>
    <row r="254" spans="1:9" x14ac:dyDescent="0.3">
      <c r="A254">
        <v>252</v>
      </c>
      <c r="B254" t="s">
        <v>388</v>
      </c>
      <c r="C254" t="s">
        <v>552</v>
      </c>
      <c r="D254" s="1">
        <v>45548</v>
      </c>
      <c r="E254" t="s">
        <v>465</v>
      </c>
      <c r="F254" s="5">
        <v>365</v>
      </c>
      <c r="G254" s="6">
        <f t="shared" ca="1" si="11"/>
        <v>46150</v>
      </c>
      <c r="H254" s="7">
        <f t="shared" ca="1" si="9"/>
        <v>602</v>
      </c>
      <c r="I254" s="5" t="str">
        <f t="shared" ca="1" si="10"/>
        <v>Tidak</v>
      </c>
    </row>
    <row r="255" spans="1:9" x14ac:dyDescent="0.3">
      <c r="A255">
        <v>253</v>
      </c>
      <c r="B255" t="s">
        <v>389</v>
      </c>
      <c r="C255" t="s">
        <v>553</v>
      </c>
      <c r="D255" s="1">
        <v>45554</v>
      </c>
      <c r="E255" t="s">
        <v>466</v>
      </c>
      <c r="F255" s="5">
        <v>365</v>
      </c>
      <c r="G255" s="6">
        <f t="shared" ca="1" si="11"/>
        <v>46150</v>
      </c>
      <c r="H255" s="7">
        <f t="shared" ca="1" si="9"/>
        <v>596</v>
      </c>
      <c r="I255" s="5" t="str">
        <f t="shared" ca="1" si="10"/>
        <v>Tidak</v>
      </c>
    </row>
    <row r="256" spans="1:9" x14ac:dyDescent="0.3">
      <c r="A256">
        <v>321</v>
      </c>
      <c r="B256" t="s">
        <v>534</v>
      </c>
      <c r="C256" t="s">
        <v>597</v>
      </c>
      <c r="D256" s="1">
        <v>45556</v>
      </c>
      <c r="E256" t="s">
        <v>600</v>
      </c>
      <c r="F256" s="5">
        <v>365</v>
      </c>
      <c r="G256" s="6">
        <f t="shared" ca="1" si="11"/>
        <v>46150</v>
      </c>
      <c r="H256" s="7">
        <f t="shared" ca="1" si="9"/>
        <v>594</v>
      </c>
      <c r="I256" s="5" t="str">
        <f t="shared" ca="1" si="10"/>
        <v>Tidak</v>
      </c>
    </row>
    <row r="257" spans="1:9" x14ac:dyDescent="0.3">
      <c r="A257">
        <v>254</v>
      </c>
      <c r="B257" t="s">
        <v>368</v>
      </c>
      <c r="C257">
        <v>240429</v>
      </c>
      <c r="D257" s="1">
        <v>45557</v>
      </c>
      <c r="E257" t="s">
        <v>467</v>
      </c>
      <c r="F257" s="5">
        <v>365</v>
      </c>
      <c r="G257" s="6">
        <f t="shared" ca="1" si="11"/>
        <v>46150</v>
      </c>
      <c r="H257" s="7">
        <f t="shared" ca="1" si="9"/>
        <v>593</v>
      </c>
      <c r="I257" s="5" t="str">
        <f t="shared" ca="1" si="10"/>
        <v>Tidak</v>
      </c>
    </row>
    <row r="258" spans="1:9" x14ac:dyDescent="0.3">
      <c r="A258">
        <v>255</v>
      </c>
      <c r="B258" t="s">
        <v>368</v>
      </c>
      <c r="C258">
        <v>240056</v>
      </c>
      <c r="D258" s="1">
        <v>45562</v>
      </c>
      <c r="E258" t="s">
        <v>468</v>
      </c>
      <c r="F258" s="5">
        <v>365</v>
      </c>
      <c r="G258" s="6">
        <f t="shared" ca="1" si="11"/>
        <v>46150</v>
      </c>
      <c r="H258" s="7">
        <f t="shared" ref="H258:H321" ca="1" si="12">G258-D258</f>
        <v>588</v>
      </c>
      <c r="I258" s="5" t="str">
        <f t="shared" ref="I258:I321" ca="1" si="13">IF(H258&gt;F258,"Tidak","Garansi")</f>
        <v>Tidak</v>
      </c>
    </row>
    <row r="259" spans="1:9" x14ac:dyDescent="0.3">
      <c r="A259">
        <v>256</v>
      </c>
      <c r="B259" t="s">
        <v>361</v>
      </c>
      <c r="C259" t="s">
        <v>554</v>
      </c>
      <c r="D259" s="1">
        <v>45567</v>
      </c>
      <c r="E259" t="s">
        <v>469</v>
      </c>
      <c r="F259" s="5">
        <v>365</v>
      </c>
      <c r="G259" s="6">
        <f t="shared" ref="G259:G323" ca="1" si="14">TODAY()</f>
        <v>46150</v>
      </c>
      <c r="H259" s="7">
        <f t="shared" ca="1" si="12"/>
        <v>583</v>
      </c>
      <c r="I259" s="5" t="str">
        <f t="shared" ca="1" si="13"/>
        <v>Tidak</v>
      </c>
    </row>
    <row r="260" spans="1:9" x14ac:dyDescent="0.3">
      <c r="A260">
        <v>257</v>
      </c>
      <c r="B260" t="s">
        <v>364</v>
      </c>
      <c r="C260">
        <v>240135</v>
      </c>
      <c r="D260" s="1">
        <v>45572</v>
      </c>
      <c r="E260" t="s">
        <v>470</v>
      </c>
      <c r="F260" s="5">
        <v>365</v>
      </c>
      <c r="G260" s="6">
        <f t="shared" ca="1" si="14"/>
        <v>46150</v>
      </c>
      <c r="H260" s="7">
        <f t="shared" ca="1" si="12"/>
        <v>578</v>
      </c>
      <c r="I260" s="5" t="str">
        <f t="shared" ca="1" si="13"/>
        <v>Tidak</v>
      </c>
    </row>
    <row r="261" spans="1:9" x14ac:dyDescent="0.3">
      <c r="A261">
        <v>258</v>
      </c>
      <c r="B261" t="s">
        <v>364</v>
      </c>
      <c r="C261">
        <v>240136</v>
      </c>
      <c r="D261" s="1">
        <v>45572</v>
      </c>
      <c r="E261" t="s">
        <v>470</v>
      </c>
      <c r="F261" s="5">
        <v>365</v>
      </c>
      <c r="G261" s="6">
        <f t="shared" ca="1" si="14"/>
        <v>46150</v>
      </c>
      <c r="H261" s="7">
        <f t="shared" ca="1" si="12"/>
        <v>578</v>
      </c>
      <c r="I261" s="5" t="str">
        <f t="shared" ca="1" si="13"/>
        <v>Tidak</v>
      </c>
    </row>
    <row r="262" spans="1:9" x14ac:dyDescent="0.3">
      <c r="A262">
        <v>259</v>
      </c>
      <c r="B262" t="s">
        <v>364</v>
      </c>
      <c r="C262">
        <v>240373</v>
      </c>
      <c r="D262" s="1">
        <v>45575</v>
      </c>
      <c r="E262" t="s">
        <v>471</v>
      </c>
      <c r="F262" s="5">
        <v>365</v>
      </c>
      <c r="G262" s="6">
        <f t="shared" ca="1" si="14"/>
        <v>46150</v>
      </c>
      <c r="H262" s="7">
        <f t="shared" ca="1" si="12"/>
        <v>575</v>
      </c>
      <c r="I262" s="5" t="str">
        <f t="shared" ca="1" si="13"/>
        <v>Tidak</v>
      </c>
    </row>
    <row r="263" spans="1:9" x14ac:dyDescent="0.3">
      <c r="A263">
        <v>260</v>
      </c>
      <c r="B263" t="s">
        <v>368</v>
      </c>
      <c r="C263">
        <v>240339</v>
      </c>
      <c r="D263" s="1">
        <v>45583</v>
      </c>
      <c r="E263" t="s">
        <v>472</v>
      </c>
      <c r="F263" s="5">
        <v>365</v>
      </c>
      <c r="G263" s="6">
        <f t="shared" ca="1" si="14"/>
        <v>46150</v>
      </c>
      <c r="H263" s="7">
        <f t="shared" ca="1" si="12"/>
        <v>567</v>
      </c>
      <c r="I263" s="5" t="str">
        <f t="shared" ca="1" si="13"/>
        <v>Tidak</v>
      </c>
    </row>
    <row r="264" spans="1:9" x14ac:dyDescent="0.3">
      <c r="A264">
        <v>261</v>
      </c>
      <c r="B264" t="s">
        <v>368</v>
      </c>
      <c r="C264">
        <v>240476</v>
      </c>
      <c r="D264" s="1">
        <v>45597</v>
      </c>
      <c r="E264" t="s">
        <v>473</v>
      </c>
      <c r="F264" s="5">
        <v>365</v>
      </c>
      <c r="G264" s="6">
        <f t="shared" ca="1" si="14"/>
        <v>46150</v>
      </c>
      <c r="H264" s="7">
        <f t="shared" ca="1" si="12"/>
        <v>553</v>
      </c>
      <c r="I264" s="5" t="str">
        <f t="shared" ca="1" si="13"/>
        <v>Tidak</v>
      </c>
    </row>
    <row r="265" spans="1:9" x14ac:dyDescent="0.3">
      <c r="A265">
        <v>262</v>
      </c>
      <c r="B265" t="s">
        <v>368</v>
      </c>
      <c r="C265">
        <v>240475</v>
      </c>
      <c r="D265" s="1">
        <v>45597</v>
      </c>
      <c r="E265" t="s">
        <v>474</v>
      </c>
      <c r="F265" s="5">
        <v>365</v>
      </c>
      <c r="G265" s="6">
        <f t="shared" ca="1" si="14"/>
        <v>46150</v>
      </c>
      <c r="H265" s="7">
        <f t="shared" ca="1" si="12"/>
        <v>553</v>
      </c>
      <c r="I265" s="5" t="str">
        <f t="shared" ca="1" si="13"/>
        <v>Tidak</v>
      </c>
    </row>
    <row r="266" spans="1:9" x14ac:dyDescent="0.3">
      <c r="A266">
        <v>263</v>
      </c>
      <c r="B266" t="s">
        <v>361</v>
      </c>
      <c r="C266" t="s">
        <v>555</v>
      </c>
      <c r="D266" s="1">
        <v>45604</v>
      </c>
      <c r="E266" t="s">
        <v>475</v>
      </c>
      <c r="F266" s="5">
        <v>365</v>
      </c>
      <c r="G266" s="6">
        <f t="shared" ca="1" si="14"/>
        <v>46150</v>
      </c>
      <c r="H266" s="7">
        <f t="shared" ca="1" si="12"/>
        <v>546</v>
      </c>
      <c r="I266" s="5" t="str">
        <f t="shared" ca="1" si="13"/>
        <v>Tidak</v>
      </c>
    </row>
    <row r="267" spans="1:9" x14ac:dyDescent="0.3">
      <c r="A267">
        <v>264</v>
      </c>
      <c r="B267" t="s">
        <v>389</v>
      </c>
      <c r="C267" t="s">
        <v>556</v>
      </c>
      <c r="D267" s="1">
        <v>45606</v>
      </c>
      <c r="E267" t="s">
        <v>476</v>
      </c>
      <c r="F267" s="5">
        <v>365</v>
      </c>
      <c r="G267" s="6">
        <f t="shared" ca="1" si="14"/>
        <v>46150</v>
      </c>
      <c r="H267" s="7">
        <f t="shared" ca="1" si="12"/>
        <v>544</v>
      </c>
      <c r="I267" s="5" t="str">
        <f t="shared" ca="1" si="13"/>
        <v>Tidak</v>
      </c>
    </row>
    <row r="268" spans="1:9" x14ac:dyDescent="0.3">
      <c r="A268">
        <v>265</v>
      </c>
      <c r="B268" t="s">
        <v>389</v>
      </c>
      <c r="C268" t="s">
        <v>557</v>
      </c>
      <c r="D268" s="1">
        <v>45607</v>
      </c>
      <c r="E268" t="s">
        <v>477</v>
      </c>
      <c r="F268" s="5">
        <v>365</v>
      </c>
      <c r="G268" s="6">
        <f t="shared" ca="1" si="14"/>
        <v>46150</v>
      </c>
      <c r="H268" s="7">
        <f t="shared" ca="1" si="12"/>
        <v>543</v>
      </c>
      <c r="I268" s="5" t="str">
        <f t="shared" ca="1" si="13"/>
        <v>Tidak</v>
      </c>
    </row>
    <row r="269" spans="1:9" x14ac:dyDescent="0.3">
      <c r="A269">
        <v>266</v>
      </c>
      <c r="B269" t="s">
        <v>368</v>
      </c>
      <c r="C269">
        <v>240477</v>
      </c>
      <c r="D269" s="1">
        <v>45614</v>
      </c>
      <c r="E269" t="s">
        <v>478</v>
      </c>
      <c r="F269" s="5">
        <v>365</v>
      </c>
      <c r="G269" s="6">
        <f t="shared" ca="1" si="14"/>
        <v>46150</v>
      </c>
      <c r="H269" s="7">
        <f t="shared" ca="1" si="12"/>
        <v>536</v>
      </c>
      <c r="I269" s="5" t="str">
        <f t="shared" ca="1" si="13"/>
        <v>Tidak</v>
      </c>
    </row>
    <row r="270" spans="1:9" x14ac:dyDescent="0.3">
      <c r="A270">
        <v>267</v>
      </c>
      <c r="B270" t="s">
        <v>389</v>
      </c>
      <c r="C270" t="s">
        <v>558</v>
      </c>
      <c r="D270" s="1">
        <v>45614</v>
      </c>
      <c r="E270" t="s">
        <v>479</v>
      </c>
      <c r="F270" s="5">
        <v>365</v>
      </c>
      <c r="G270" s="6">
        <f t="shared" ca="1" si="14"/>
        <v>46150</v>
      </c>
      <c r="H270" s="7">
        <f t="shared" ca="1" si="12"/>
        <v>536</v>
      </c>
      <c r="I270" s="5" t="str">
        <f t="shared" ca="1" si="13"/>
        <v>Tidak</v>
      </c>
    </row>
    <row r="271" spans="1:9" x14ac:dyDescent="0.3">
      <c r="A271">
        <v>268</v>
      </c>
      <c r="B271" t="s">
        <v>532</v>
      </c>
      <c r="C271" t="s">
        <v>559</v>
      </c>
      <c r="D271" s="1">
        <v>45619</v>
      </c>
      <c r="E271" t="s">
        <v>480</v>
      </c>
      <c r="F271" s="5">
        <v>365</v>
      </c>
      <c r="G271" s="6">
        <f t="shared" ca="1" si="14"/>
        <v>46150</v>
      </c>
      <c r="H271" s="7">
        <f t="shared" ca="1" si="12"/>
        <v>531</v>
      </c>
      <c r="I271" s="5" t="str">
        <f t="shared" ca="1" si="13"/>
        <v>Tidak</v>
      </c>
    </row>
    <row r="272" spans="1:9" x14ac:dyDescent="0.3">
      <c r="A272">
        <v>319</v>
      </c>
      <c r="B272" t="s">
        <v>367</v>
      </c>
      <c r="C272" t="s">
        <v>595</v>
      </c>
      <c r="D272" s="1">
        <v>45624</v>
      </c>
      <c r="E272" t="s">
        <v>598</v>
      </c>
      <c r="F272" s="5">
        <v>365</v>
      </c>
      <c r="G272" s="6">
        <f t="shared" ca="1" si="14"/>
        <v>46150</v>
      </c>
      <c r="H272" s="7">
        <f t="shared" ca="1" si="12"/>
        <v>526</v>
      </c>
      <c r="I272" s="5" t="str">
        <f t="shared" ca="1" si="13"/>
        <v>Tidak</v>
      </c>
    </row>
    <row r="273" spans="1:9" x14ac:dyDescent="0.3">
      <c r="A273">
        <v>269</v>
      </c>
      <c r="B273" t="s">
        <v>368</v>
      </c>
      <c r="C273">
        <v>240432</v>
      </c>
      <c r="D273" s="1">
        <v>45627</v>
      </c>
      <c r="E273" t="s">
        <v>481</v>
      </c>
      <c r="F273" s="5">
        <v>365</v>
      </c>
      <c r="G273" s="6">
        <f t="shared" ca="1" si="14"/>
        <v>46150</v>
      </c>
      <c r="H273" s="7">
        <f t="shared" ca="1" si="12"/>
        <v>523</v>
      </c>
      <c r="I273" s="5" t="str">
        <f t="shared" ca="1" si="13"/>
        <v>Tidak</v>
      </c>
    </row>
    <row r="274" spans="1:9" x14ac:dyDescent="0.3">
      <c r="A274">
        <v>270</v>
      </c>
      <c r="B274" t="s">
        <v>341</v>
      </c>
      <c r="C274" t="s">
        <v>341</v>
      </c>
      <c r="D274" s="1">
        <v>45630</v>
      </c>
      <c r="E274" t="s">
        <v>482</v>
      </c>
      <c r="F274" s="5">
        <v>365</v>
      </c>
      <c r="G274" s="6">
        <f t="shared" ca="1" si="14"/>
        <v>46150</v>
      </c>
      <c r="H274" s="7">
        <f t="shared" ca="1" si="12"/>
        <v>520</v>
      </c>
      <c r="I274" s="5" t="str">
        <f t="shared" ca="1" si="13"/>
        <v>Tidak</v>
      </c>
    </row>
    <row r="275" spans="1:9" x14ac:dyDescent="0.3">
      <c r="A275">
        <v>271</v>
      </c>
      <c r="B275" t="s">
        <v>388</v>
      </c>
      <c r="C275" t="s">
        <v>560</v>
      </c>
      <c r="D275" s="1">
        <v>45631</v>
      </c>
      <c r="E275" t="s">
        <v>483</v>
      </c>
      <c r="F275" s="5">
        <v>365</v>
      </c>
      <c r="G275" s="6">
        <f t="shared" ca="1" si="14"/>
        <v>46150</v>
      </c>
      <c r="H275" s="7">
        <f t="shared" ca="1" si="12"/>
        <v>519</v>
      </c>
      <c r="I275" s="5" t="str">
        <f t="shared" ca="1" si="13"/>
        <v>Tidak</v>
      </c>
    </row>
    <row r="276" spans="1:9" x14ac:dyDescent="0.3">
      <c r="A276">
        <v>272</v>
      </c>
      <c r="B276" t="s">
        <v>388</v>
      </c>
      <c r="C276" t="s">
        <v>561</v>
      </c>
      <c r="D276" s="1">
        <v>45642</v>
      </c>
      <c r="E276" t="s">
        <v>484</v>
      </c>
      <c r="F276" s="5">
        <v>365</v>
      </c>
      <c r="G276" s="6">
        <f t="shared" ca="1" si="14"/>
        <v>46150</v>
      </c>
      <c r="H276" s="7">
        <f t="shared" ca="1" si="12"/>
        <v>508</v>
      </c>
      <c r="I276" s="5" t="str">
        <f t="shared" ca="1" si="13"/>
        <v>Tidak</v>
      </c>
    </row>
    <row r="277" spans="1:9" x14ac:dyDescent="0.3">
      <c r="A277">
        <v>273</v>
      </c>
      <c r="B277" t="s">
        <v>388</v>
      </c>
      <c r="C277" t="s">
        <v>562</v>
      </c>
      <c r="D277" s="1">
        <v>45643</v>
      </c>
      <c r="E277" t="s">
        <v>485</v>
      </c>
      <c r="F277" s="5">
        <v>365</v>
      </c>
      <c r="G277" s="6">
        <f t="shared" ca="1" si="14"/>
        <v>46150</v>
      </c>
      <c r="H277" s="7">
        <f t="shared" ca="1" si="12"/>
        <v>507</v>
      </c>
      <c r="I277" s="5" t="str">
        <f t="shared" ca="1" si="13"/>
        <v>Tidak</v>
      </c>
    </row>
    <row r="278" spans="1:9" x14ac:dyDescent="0.3">
      <c r="A278">
        <v>274</v>
      </c>
      <c r="B278" t="s">
        <v>388</v>
      </c>
      <c r="C278" t="s">
        <v>563</v>
      </c>
      <c r="D278" s="1">
        <v>45646</v>
      </c>
      <c r="E278" t="s">
        <v>486</v>
      </c>
      <c r="F278" s="5">
        <v>365</v>
      </c>
      <c r="G278" s="6">
        <f t="shared" ca="1" si="14"/>
        <v>46150</v>
      </c>
      <c r="H278" s="7">
        <f t="shared" ca="1" si="12"/>
        <v>504</v>
      </c>
      <c r="I278" s="5" t="str">
        <f t="shared" ca="1" si="13"/>
        <v>Tidak</v>
      </c>
    </row>
    <row r="279" spans="1:9" x14ac:dyDescent="0.3">
      <c r="A279">
        <v>275</v>
      </c>
      <c r="B279" t="s">
        <v>364</v>
      </c>
      <c r="C279">
        <v>240380</v>
      </c>
      <c r="D279" s="1">
        <v>45650</v>
      </c>
      <c r="E279" t="s">
        <v>487</v>
      </c>
      <c r="F279" s="5">
        <v>365</v>
      </c>
      <c r="G279" s="6">
        <f t="shared" ca="1" si="14"/>
        <v>46150</v>
      </c>
      <c r="H279" s="7">
        <f t="shared" ca="1" si="12"/>
        <v>500</v>
      </c>
      <c r="I279" s="5" t="str">
        <f t="shared" ca="1" si="13"/>
        <v>Tidak</v>
      </c>
    </row>
    <row r="280" spans="1:9" x14ac:dyDescent="0.3">
      <c r="A280">
        <v>276</v>
      </c>
      <c r="B280" t="s">
        <v>368</v>
      </c>
      <c r="C280">
        <v>240526</v>
      </c>
      <c r="D280" s="1">
        <v>45650</v>
      </c>
      <c r="E280" t="s">
        <v>488</v>
      </c>
      <c r="F280" s="5">
        <v>365</v>
      </c>
      <c r="G280" s="6">
        <f t="shared" ca="1" si="14"/>
        <v>46150</v>
      </c>
      <c r="H280" s="7">
        <f t="shared" ca="1" si="12"/>
        <v>500</v>
      </c>
      <c r="I280" s="5" t="str">
        <f t="shared" ca="1" si="13"/>
        <v>Tidak</v>
      </c>
    </row>
    <row r="281" spans="1:9" x14ac:dyDescent="0.3">
      <c r="A281">
        <v>277</v>
      </c>
      <c r="B281" t="s">
        <v>388</v>
      </c>
      <c r="C281" t="s">
        <v>564</v>
      </c>
      <c r="D281" s="1">
        <v>45650</v>
      </c>
      <c r="E281" t="s">
        <v>489</v>
      </c>
      <c r="F281" s="5">
        <v>365</v>
      </c>
      <c r="G281" s="6">
        <f t="shared" ca="1" si="14"/>
        <v>46150</v>
      </c>
      <c r="H281" s="7">
        <f t="shared" ca="1" si="12"/>
        <v>500</v>
      </c>
      <c r="I281" s="5" t="str">
        <f t="shared" ca="1" si="13"/>
        <v>Tidak</v>
      </c>
    </row>
    <row r="282" spans="1:9" x14ac:dyDescent="0.3">
      <c r="A282">
        <v>278</v>
      </c>
      <c r="B282" t="s">
        <v>388</v>
      </c>
      <c r="C282" t="s">
        <v>565</v>
      </c>
      <c r="D282" s="1">
        <v>45650</v>
      </c>
      <c r="E282" t="s">
        <v>490</v>
      </c>
      <c r="F282" s="5">
        <v>365</v>
      </c>
      <c r="G282" s="6">
        <f t="shared" ca="1" si="14"/>
        <v>46150</v>
      </c>
      <c r="H282" s="7">
        <f t="shared" ca="1" si="12"/>
        <v>500</v>
      </c>
      <c r="I282" s="5" t="str">
        <f t="shared" ca="1" si="13"/>
        <v>Tidak</v>
      </c>
    </row>
    <row r="283" spans="1:9" x14ac:dyDescent="0.3">
      <c r="A283">
        <v>279</v>
      </c>
      <c r="B283" t="s">
        <v>341</v>
      </c>
      <c r="C283" t="s">
        <v>566</v>
      </c>
      <c r="D283" s="1">
        <v>45652</v>
      </c>
      <c r="E283" t="s">
        <v>491</v>
      </c>
      <c r="F283" s="5">
        <v>365</v>
      </c>
      <c r="G283" s="6">
        <f t="shared" ca="1" si="14"/>
        <v>46150</v>
      </c>
      <c r="H283" s="7">
        <f t="shared" ca="1" si="12"/>
        <v>498</v>
      </c>
      <c r="I283" s="5" t="str">
        <f t="shared" ca="1" si="13"/>
        <v>Tidak</v>
      </c>
    </row>
    <row r="284" spans="1:9" x14ac:dyDescent="0.3">
      <c r="A284">
        <v>280</v>
      </c>
      <c r="B284" t="s">
        <v>389</v>
      </c>
      <c r="C284" t="s">
        <v>567</v>
      </c>
      <c r="D284" s="1">
        <v>45656</v>
      </c>
      <c r="E284" t="s">
        <v>492</v>
      </c>
      <c r="F284" s="5">
        <v>365</v>
      </c>
      <c r="G284" s="6">
        <f t="shared" ca="1" si="14"/>
        <v>46150</v>
      </c>
      <c r="H284" s="7">
        <f t="shared" ca="1" si="12"/>
        <v>494</v>
      </c>
      <c r="I284" s="5" t="str">
        <f t="shared" ca="1" si="13"/>
        <v>Tidak</v>
      </c>
    </row>
    <row r="285" spans="1:9" x14ac:dyDescent="0.3">
      <c r="A285">
        <v>281</v>
      </c>
      <c r="B285" t="s">
        <v>389</v>
      </c>
      <c r="C285" t="s">
        <v>568</v>
      </c>
      <c r="D285" s="1">
        <v>45661</v>
      </c>
      <c r="E285" t="s">
        <v>493</v>
      </c>
      <c r="F285" s="5">
        <v>365</v>
      </c>
      <c r="G285" s="6">
        <f t="shared" ca="1" si="14"/>
        <v>46150</v>
      </c>
      <c r="H285" s="7">
        <f t="shared" ca="1" si="12"/>
        <v>489</v>
      </c>
      <c r="I285" s="5" t="str">
        <f t="shared" ca="1" si="13"/>
        <v>Tidak</v>
      </c>
    </row>
    <row r="286" spans="1:9" x14ac:dyDescent="0.3">
      <c r="A286">
        <v>282</v>
      </c>
      <c r="B286" t="s">
        <v>388</v>
      </c>
      <c r="C286" t="s">
        <v>569</v>
      </c>
      <c r="D286" s="1">
        <v>45665</v>
      </c>
      <c r="E286" t="s">
        <v>494</v>
      </c>
      <c r="F286" s="5">
        <v>365</v>
      </c>
      <c r="G286" s="6">
        <f t="shared" ca="1" si="14"/>
        <v>46150</v>
      </c>
      <c r="H286" s="7">
        <f t="shared" ca="1" si="12"/>
        <v>485</v>
      </c>
      <c r="I286" s="5" t="str">
        <f t="shared" ca="1" si="13"/>
        <v>Tidak</v>
      </c>
    </row>
    <row r="287" spans="1:9" x14ac:dyDescent="0.3">
      <c r="A287">
        <v>283</v>
      </c>
      <c r="B287" t="s">
        <v>368</v>
      </c>
      <c r="C287">
        <v>240538</v>
      </c>
      <c r="D287" s="1">
        <v>45666</v>
      </c>
      <c r="E287" t="s">
        <v>495</v>
      </c>
      <c r="F287" s="5">
        <v>365</v>
      </c>
      <c r="G287" s="6">
        <f t="shared" ca="1" si="14"/>
        <v>46150</v>
      </c>
      <c r="H287" s="7">
        <f t="shared" ca="1" si="12"/>
        <v>484</v>
      </c>
      <c r="I287" s="5" t="str">
        <f t="shared" ca="1" si="13"/>
        <v>Tidak</v>
      </c>
    </row>
    <row r="288" spans="1:9" x14ac:dyDescent="0.3">
      <c r="A288">
        <v>284</v>
      </c>
      <c r="B288" t="s">
        <v>368</v>
      </c>
      <c r="C288">
        <v>240528</v>
      </c>
      <c r="D288" s="1">
        <v>45671</v>
      </c>
      <c r="E288" t="s">
        <v>496</v>
      </c>
      <c r="F288" s="5">
        <v>365</v>
      </c>
      <c r="G288" s="6">
        <f t="shared" ca="1" si="14"/>
        <v>46150</v>
      </c>
      <c r="H288" s="7">
        <f t="shared" ca="1" si="12"/>
        <v>479</v>
      </c>
      <c r="I288" s="5" t="str">
        <f t="shared" ca="1" si="13"/>
        <v>Tidak</v>
      </c>
    </row>
    <row r="289" spans="1:9" x14ac:dyDescent="0.3">
      <c r="A289">
        <v>285</v>
      </c>
      <c r="B289" t="s">
        <v>388</v>
      </c>
      <c r="C289" t="s">
        <v>570</v>
      </c>
      <c r="D289" s="1">
        <v>45671</v>
      </c>
      <c r="E289" t="s">
        <v>497</v>
      </c>
      <c r="F289" s="5">
        <v>365</v>
      </c>
      <c r="G289" s="6">
        <f t="shared" ca="1" si="14"/>
        <v>46150</v>
      </c>
      <c r="H289" s="7">
        <f t="shared" ca="1" si="12"/>
        <v>479</v>
      </c>
      <c r="I289" s="5" t="str">
        <f t="shared" ca="1" si="13"/>
        <v>Tidak</v>
      </c>
    </row>
    <row r="290" spans="1:9" x14ac:dyDescent="0.3">
      <c r="A290">
        <v>286</v>
      </c>
      <c r="B290" t="s">
        <v>388</v>
      </c>
      <c r="C290" t="s">
        <v>571</v>
      </c>
      <c r="D290" s="1">
        <v>45671</v>
      </c>
      <c r="E290" t="s">
        <v>498</v>
      </c>
      <c r="F290" s="5">
        <v>365</v>
      </c>
      <c r="G290" s="6">
        <f t="shared" ca="1" si="14"/>
        <v>46150</v>
      </c>
      <c r="H290" s="7">
        <f t="shared" ca="1" si="12"/>
        <v>479</v>
      </c>
      <c r="I290" s="5" t="str">
        <f t="shared" ca="1" si="13"/>
        <v>Tidak</v>
      </c>
    </row>
    <row r="291" spans="1:9" x14ac:dyDescent="0.3">
      <c r="A291">
        <v>287</v>
      </c>
      <c r="B291" t="s">
        <v>388</v>
      </c>
      <c r="C291" t="s">
        <v>572</v>
      </c>
      <c r="D291" s="1">
        <v>45674</v>
      </c>
      <c r="E291" t="s">
        <v>499</v>
      </c>
      <c r="F291" s="5">
        <v>365</v>
      </c>
      <c r="G291" s="6">
        <f t="shared" ca="1" si="14"/>
        <v>46150</v>
      </c>
      <c r="H291" s="7">
        <f t="shared" ca="1" si="12"/>
        <v>476</v>
      </c>
      <c r="I291" s="5" t="str">
        <f t="shared" ca="1" si="13"/>
        <v>Tidak</v>
      </c>
    </row>
    <row r="292" spans="1:9" x14ac:dyDescent="0.3">
      <c r="A292">
        <v>288</v>
      </c>
      <c r="B292" t="s">
        <v>341</v>
      </c>
      <c r="C292" t="s">
        <v>573</v>
      </c>
      <c r="D292" s="1">
        <v>45676</v>
      </c>
      <c r="E292" t="s">
        <v>500</v>
      </c>
      <c r="F292" s="5">
        <v>365</v>
      </c>
      <c r="G292" s="6">
        <f t="shared" ca="1" si="14"/>
        <v>46150</v>
      </c>
      <c r="H292" s="7">
        <f t="shared" ca="1" si="12"/>
        <v>474</v>
      </c>
      <c r="I292" s="5" t="str">
        <f t="shared" ca="1" si="13"/>
        <v>Tidak</v>
      </c>
    </row>
    <row r="293" spans="1:9" x14ac:dyDescent="0.3">
      <c r="A293">
        <v>289</v>
      </c>
      <c r="B293" t="s">
        <v>388</v>
      </c>
      <c r="C293" t="s">
        <v>574</v>
      </c>
      <c r="D293" s="1">
        <v>45681</v>
      </c>
      <c r="E293" t="s">
        <v>501</v>
      </c>
      <c r="F293" s="5">
        <v>365</v>
      </c>
      <c r="G293" s="6">
        <f t="shared" ca="1" si="14"/>
        <v>46150</v>
      </c>
      <c r="H293" s="7">
        <f t="shared" ca="1" si="12"/>
        <v>469</v>
      </c>
      <c r="I293" s="5" t="str">
        <f t="shared" ca="1" si="13"/>
        <v>Tidak</v>
      </c>
    </row>
    <row r="294" spans="1:9" x14ac:dyDescent="0.3">
      <c r="A294">
        <v>290</v>
      </c>
      <c r="B294" t="s">
        <v>533</v>
      </c>
      <c r="C294">
        <v>230633</v>
      </c>
      <c r="D294" s="1">
        <v>45688</v>
      </c>
      <c r="E294" t="s">
        <v>502</v>
      </c>
      <c r="F294" s="5">
        <v>365</v>
      </c>
      <c r="G294" s="6">
        <f t="shared" ca="1" si="14"/>
        <v>46150</v>
      </c>
      <c r="H294" s="7">
        <f t="shared" ca="1" si="12"/>
        <v>462</v>
      </c>
      <c r="I294" s="5" t="str">
        <f t="shared" ca="1" si="13"/>
        <v>Tidak</v>
      </c>
    </row>
    <row r="295" spans="1:9" x14ac:dyDescent="0.3">
      <c r="A295">
        <v>291</v>
      </c>
      <c r="B295" t="s">
        <v>341</v>
      </c>
      <c r="C295" t="s">
        <v>341</v>
      </c>
      <c r="D295" s="1">
        <v>45688</v>
      </c>
      <c r="E295" t="s">
        <v>503</v>
      </c>
      <c r="F295" s="5">
        <v>365</v>
      </c>
      <c r="G295" s="6">
        <f t="shared" ca="1" si="14"/>
        <v>46150</v>
      </c>
      <c r="H295" s="7">
        <f t="shared" ca="1" si="12"/>
        <v>462</v>
      </c>
      <c r="I295" s="5" t="str">
        <f t="shared" ca="1" si="13"/>
        <v>Tidak</v>
      </c>
    </row>
    <row r="296" spans="1:9" x14ac:dyDescent="0.3">
      <c r="A296">
        <v>292</v>
      </c>
      <c r="B296" t="s">
        <v>368</v>
      </c>
      <c r="C296">
        <v>240539</v>
      </c>
      <c r="D296" s="1">
        <v>45694</v>
      </c>
      <c r="E296" t="s">
        <v>504</v>
      </c>
      <c r="F296" s="5">
        <v>365</v>
      </c>
      <c r="G296" s="6">
        <f t="shared" ca="1" si="14"/>
        <v>46150</v>
      </c>
      <c r="H296" s="7">
        <f t="shared" ca="1" si="12"/>
        <v>456</v>
      </c>
      <c r="I296" s="5" t="str">
        <f t="shared" ca="1" si="13"/>
        <v>Tidak</v>
      </c>
    </row>
    <row r="297" spans="1:9" x14ac:dyDescent="0.3">
      <c r="A297">
        <v>293</v>
      </c>
      <c r="B297" t="s">
        <v>388</v>
      </c>
      <c r="C297" t="s">
        <v>575</v>
      </c>
      <c r="D297" s="1">
        <v>45700</v>
      </c>
      <c r="E297" t="s">
        <v>505</v>
      </c>
      <c r="F297" s="5">
        <v>365</v>
      </c>
      <c r="G297" s="6">
        <f t="shared" ca="1" si="14"/>
        <v>46150</v>
      </c>
      <c r="H297" s="7">
        <f t="shared" ca="1" si="12"/>
        <v>450</v>
      </c>
      <c r="I297" s="5" t="str">
        <f t="shared" ca="1" si="13"/>
        <v>Tidak</v>
      </c>
    </row>
    <row r="298" spans="1:9" x14ac:dyDescent="0.3">
      <c r="A298">
        <v>294</v>
      </c>
      <c r="B298" t="s">
        <v>341</v>
      </c>
      <c r="C298" t="s">
        <v>576</v>
      </c>
      <c r="D298" s="1">
        <v>45705</v>
      </c>
      <c r="E298" t="s">
        <v>506</v>
      </c>
      <c r="F298" s="5">
        <v>365</v>
      </c>
      <c r="G298" s="6">
        <f t="shared" ca="1" si="14"/>
        <v>46150</v>
      </c>
      <c r="H298" s="7">
        <f t="shared" ca="1" si="12"/>
        <v>445</v>
      </c>
      <c r="I298" s="5" t="str">
        <f t="shared" ca="1" si="13"/>
        <v>Tidak</v>
      </c>
    </row>
    <row r="299" spans="1:9" x14ac:dyDescent="0.3">
      <c r="A299">
        <v>295</v>
      </c>
      <c r="B299" t="s">
        <v>389</v>
      </c>
      <c r="C299" t="s">
        <v>577</v>
      </c>
      <c r="D299" s="1">
        <v>45715</v>
      </c>
      <c r="E299" t="s">
        <v>507</v>
      </c>
      <c r="F299" s="5">
        <v>365</v>
      </c>
      <c r="G299" s="6">
        <f t="shared" ca="1" si="14"/>
        <v>46150</v>
      </c>
      <c r="H299" s="7">
        <f t="shared" ca="1" si="12"/>
        <v>435</v>
      </c>
      <c r="I299" s="5" t="str">
        <f t="shared" ca="1" si="13"/>
        <v>Tidak</v>
      </c>
    </row>
    <row r="300" spans="1:9" x14ac:dyDescent="0.3">
      <c r="A300">
        <v>296</v>
      </c>
      <c r="B300" t="s">
        <v>388</v>
      </c>
      <c r="C300" t="s">
        <v>578</v>
      </c>
      <c r="D300" s="1">
        <v>45715</v>
      </c>
      <c r="E300" t="s">
        <v>508</v>
      </c>
      <c r="F300" s="5">
        <v>365</v>
      </c>
      <c r="G300" s="6">
        <f t="shared" ca="1" si="14"/>
        <v>46150</v>
      </c>
      <c r="H300" s="7">
        <f t="shared" ca="1" si="12"/>
        <v>435</v>
      </c>
      <c r="I300" s="5" t="str">
        <f t="shared" ca="1" si="13"/>
        <v>Tidak</v>
      </c>
    </row>
    <row r="301" spans="1:9" x14ac:dyDescent="0.3">
      <c r="A301">
        <v>297</v>
      </c>
      <c r="B301" t="s">
        <v>363</v>
      </c>
      <c r="C301">
        <v>240434</v>
      </c>
      <c r="D301" s="1">
        <v>45720</v>
      </c>
      <c r="E301" t="s">
        <v>509</v>
      </c>
      <c r="F301" s="5">
        <v>365</v>
      </c>
      <c r="G301" s="6">
        <f t="shared" ca="1" si="14"/>
        <v>46150</v>
      </c>
      <c r="H301" s="7">
        <f t="shared" ca="1" si="12"/>
        <v>430</v>
      </c>
      <c r="I301" s="5" t="str">
        <f t="shared" ca="1" si="13"/>
        <v>Tidak</v>
      </c>
    </row>
    <row r="302" spans="1:9" x14ac:dyDescent="0.3">
      <c r="A302">
        <v>298</v>
      </c>
      <c r="B302" t="s">
        <v>388</v>
      </c>
      <c r="C302" t="s">
        <v>579</v>
      </c>
      <c r="D302" s="1">
        <v>45733</v>
      </c>
      <c r="E302" t="s">
        <v>510</v>
      </c>
      <c r="F302" s="5">
        <v>365</v>
      </c>
      <c r="G302" s="6">
        <f t="shared" ca="1" si="14"/>
        <v>46150</v>
      </c>
      <c r="H302" s="7">
        <f t="shared" ca="1" si="12"/>
        <v>417</v>
      </c>
      <c r="I302" s="5" t="str">
        <f t="shared" ca="1" si="13"/>
        <v>Tidak</v>
      </c>
    </row>
    <row r="303" spans="1:9" x14ac:dyDescent="0.3">
      <c r="A303">
        <v>299</v>
      </c>
      <c r="B303" t="s">
        <v>389</v>
      </c>
      <c r="C303" t="s">
        <v>580</v>
      </c>
      <c r="D303" s="1">
        <v>45733</v>
      </c>
      <c r="E303" t="s">
        <v>511</v>
      </c>
      <c r="F303" s="5">
        <v>365</v>
      </c>
      <c r="G303" s="6">
        <f t="shared" ca="1" si="14"/>
        <v>46150</v>
      </c>
      <c r="H303" s="7">
        <f t="shared" ca="1" si="12"/>
        <v>417</v>
      </c>
      <c r="I303" s="5" t="str">
        <f t="shared" ca="1" si="13"/>
        <v>Tidak</v>
      </c>
    </row>
    <row r="304" spans="1:9" x14ac:dyDescent="0.3">
      <c r="A304">
        <v>300</v>
      </c>
      <c r="B304" t="s">
        <v>364</v>
      </c>
      <c r="C304">
        <v>240608</v>
      </c>
      <c r="D304" s="1">
        <v>45735</v>
      </c>
      <c r="E304" t="s">
        <v>512</v>
      </c>
      <c r="F304" s="5">
        <v>365</v>
      </c>
      <c r="G304" s="6">
        <f t="shared" ca="1" si="14"/>
        <v>46150</v>
      </c>
      <c r="H304" s="7">
        <f t="shared" ca="1" si="12"/>
        <v>415</v>
      </c>
      <c r="I304" s="5" t="str">
        <f t="shared" ca="1" si="13"/>
        <v>Tidak</v>
      </c>
    </row>
    <row r="305" spans="1:9" x14ac:dyDescent="0.3">
      <c r="A305">
        <v>301</v>
      </c>
      <c r="B305" t="s">
        <v>388</v>
      </c>
      <c r="C305" t="s">
        <v>581</v>
      </c>
      <c r="D305" s="1">
        <v>45737</v>
      </c>
      <c r="E305" t="s">
        <v>513</v>
      </c>
      <c r="F305" s="5">
        <v>365</v>
      </c>
      <c r="G305" s="6">
        <f t="shared" ca="1" si="14"/>
        <v>46150</v>
      </c>
      <c r="H305" s="7">
        <f t="shared" ca="1" si="12"/>
        <v>413</v>
      </c>
      <c r="I305" s="5" t="str">
        <f t="shared" ca="1" si="13"/>
        <v>Tidak</v>
      </c>
    </row>
    <row r="306" spans="1:9" x14ac:dyDescent="0.3">
      <c r="A306">
        <v>302</v>
      </c>
      <c r="B306" t="s">
        <v>368</v>
      </c>
      <c r="C306">
        <v>240636</v>
      </c>
      <c r="D306" s="1">
        <v>45741</v>
      </c>
      <c r="E306" t="s">
        <v>514</v>
      </c>
      <c r="F306" s="5">
        <v>365</v>
      </c>
      <c r="G306" s="6">
        <f t="shared" ca="1" si="14"/>
        <v>46150</v>
      </c>
      <c r="H306" s="7">
        <f t="shared" ca="1" si="12"/>
        <v>409</v>
      </c>
      <c r="I306" s="5" t="str">
        <f t="shared" ca="1" si="13"/>
        <v>Tidak</v>
      </c>
    </row>
    <row r="307" spans="1:9" x14ac:dyDescent="0.3">
      <c r="A307">
        <v>303</v>
      </c>
      <c r="B307" t="s">
        <v>389</v>
      </c>
      <c r="C307" t="s">
        <v>582</v>
      </c>
      <c r="D307" s="1">
        <v>45744</v>
      </c>
      <c r="E307" t="s">
        <v>515</v>
      </c>
      <c r="F307" s="5">
        <v>365</v>
      </c>
      <c r="G307" s="6">
        <f t="shared" ca="1" si="14"/>
        <v>46150</v>
      </c>
      <c r="H307" s="7">
        <f t="shared" ca="1" si="12"/>
        <v>406</v>
      </c>
      <c r="I307" s="5" t="str">
        <f t="shared" ca="1" si="13"/>
        <v>Tidak</v>
      </c>
    </row>
    <row r="308" spans="1:9" x14ac:dyDescent="0.3">
      <c r="A308">
        <v>304</v>
      </c>
      <c r="B308" t="s">
        <v>341</v>
      </c>
      <c r="C308" t="s">
        <v>583</v>
      </c>
      <c r="D308" s="1">
        <v>45744</v>
      </c>
      <c r="E308" t="s">
        <v>516</v>
      </c>
      <c r="F308" s="5">
        <v>365</v>
      </c>
      <c r="G308" s="6">
        <f t="shared" ca="1" si="14"/>
        <v>46150</v>
      </c>
      <c r="H308" s="7">
        <f t="shared" ca="1" si="12"/>
        <v>406</v>
      </c>
      <c r="I308" s="5" t="str">
        <f t="shared" ca="1" si="13"/>
        <v>Tidak</v>
      </c>
    </row>
    <row r="309" spans="1:9" x14ac:dyDescent="0.3">
      <c r="A309">
        <v>305</v>
      </c>
      <c r="B309" t="s">
        <v>367</v>
      </c>
      <c r="C309" t="s">
        <v>584</v>
      </c>
      <c r="D309" s="1">
        <v>45761</v>
      </c>
      <c r="E309" t="s">
        <v>517</v>
      </c>
      <c r="F309" s="5">
        <v>365</v>
      </c>
      <c r="G309" s="6">
        <f t="shared" ca="1" si="14"/>
        <v>46150</v>
      </c>
      <c r="H309" s="7">
        <f t="shared" ca="1" si="12"/>
        <v>389</v>
      </c>
      <c r="I309" s="5" t="str">
        <f t="shared" ca="1" si="13"/>
        <v>Tidak</v>
      </c>
    </row>
    <row r="310" spans="1:9" x14ac:dyDescent="0.3">
      <c r="A310">
        <v>306</v>
      </c>
      <c r="B310" t="s">
        <v>388</v>
      </c>
      <c r="C310" t="s">
        <v>585</v>
      </c>
      <c r="D310" s="1">
        <v>45762</v>
      </c>
      <c r="E310" t="s">
        <v>518</v>
      </c>
      <c r="F310" s="5">
        <v>365</v>
      </c>
      <c r="G310" s="6">
        <f t="shared" ca="1" si="14"/>
        <v>46150</v>
      </c>
      <c r="H310" s="7">
        <f t="shared" ca="1" si="12"/>
        <v>388</v>
      </c>
      <c r="I310" s="5" t="str">
        <f t="shared" ca="1" si="13"/>
        <v>Tidak</v>
      </c>
    </row>
    <row r="311" spans="1:9" x14ac:dyDescent="0.3">
      <c r="A311">
        <v>307</v>
      </c>
      <c r="B311" t="s">
        <v>388</v>
      </c>
      <c r="C311" t="s">
        <v>586</v>
      </c>
      <c r="D311" s="1">
        <v>45766</v>
      </c>
      <c r="E311" t="s">
        <v>519</v>
      </c>
      <c r="F311" s="5">
        <v>365</v>
      </c>
      <c r="G311" s="6">
        <f t="shared" ca="1" si="14"/>
        <v>46150</v>
      </c>
      <c r="H311" s="7">
        <f t="shared" ca="1" si="12"/>
        <v>384</v>
      </c>
      <c r="I311" s="5" t="str">
        <f t="shared" ca="1" si="13"/>
        <v>Tidak</v>
      </c>
    </row>
    <row r="312" spans="1:9" x14ac:dyDescent="0.3">
      <c r="A312">
        <v>308</v>
      </c>
      <c r="B312" t="s">
        <v>368</v>
      </c>
      <c r="C312">
        <v>240760</v>
      </c>
      <c r="D312" s="1">
        <v>45776</v>
      </c>
      <c r="E312" t="s">
        <v>520</v>
      </c>
      <c r="F312" s="5">
        <v>365</v>
      </c>
      <c r="G312" s="6">
        <f t="shared" ca="1" si="14"/>
        <v>46150</v>
      </c>
      <c r="H312" s="7">
        <f t="shared" ca="1" si="12"/>
        <v>374</v>
      </c>
      <c r="I312" s="5" t="str">
        <f t="shared" ca="1" si="13"/>
        <v>Tidak</v>
      </c>
    </row>
    <row r="313" spans="1:9" x14ac:dyDescent="0.3">
      <c r="A313">
        <v>309</v>
      </c>
      <c r="B313" t="s">
        <v>388</v>
      </c>
      <c r="C313" t="s">
        <v>1031</v>
      </c>
      <c r="D313" s="1">
        <v>45766</v>
      </c>
      <c r="E313" t="s">
        <v>521</v>
      </c>
      <c r="F313" s="5">
        <v>365</v>
      </c>
      <c r="G313" s="6">
        <f t="shared" ca="1" si="14"/>
        <v>46150</v>
      </c>
      <c r="H313" s="7">
        <f t="shared" ca="1" si="12"/>
        <v>384</v>
      </c>
      <c r="I313" s="5" t="str">
        <f t="shared" ca="1" si="13"/>
        <v>Tidak</v>
      </c>
    </row>
    <row r="314" spans="1:9" x14ac:dyDescent="0.3">
      <c r="A314">
        <v>310</v>
      </c>
      <c r="B314" t="s">
        <v>361</v>
      </c>
      <c r="C314" t="s">
        <v>588</v>
      </c>
      <c r="D314" s="1">
        <v>45782</v>
      </c>
      <c r="E314" t="s">
        <v>522</v>
      </c>
      <c r="F314" s="5">
        <v>365</v>
      </c>
      <c r="G314" s="6">
        <f t="shared" ca="1" si="14"/>
        <v>46150</v>
      </c>
      <c r="H314" s="7">
        <f t="shared" ca="1" si="12"/>
        <v>368</v>
      </c>
      <c r="I314" s="5" t="str">
        <f t="shared" ca="1" si="13"/>
        <v>Tidak</v>
      </c>
    </row>
    <row r="315" spans="1:9" x14ac:dyDescent="0.3">
      <c r="A315">
        <v>311</v>
      </c>
      <c r="B315" t="s">
        <v>341</v>
      </c>
      <c r="C315" t="s">
        <v>589</v>
      </c>
      <c r="D315" s="1">
        <v>45783</v>
      </c>
      <c r="E315" t="s">
        <v>523</v>
      </c>
      <c r="F315" s="5">
        <v>365</v>
      </c>
      <c r="G315" s="6">
        <f t="shared" ca="1" si="14"/>
        <v>46150</v>
      </c>
      <c r="H315" s="7">
        <f t="shared" ca="1" si="12"/>
        <v>367</v>
      </c>
      <c r="I315" s="5" t="str">
        <f t="shared" ca="1" si="13"/>
        <v>Tidak</v>
      </c>
    </row>
    <row r="316" spans="1:9" x14ac:dyDescent="0.3">
      <c r="A316">
        <v>312</v>
      </c>
      <c r="B316" t="s">
        <v>364</v>
      </c>
      <c r="C316">
        <v>240737</v>
      </c>
      <c r="D316" s="1">
        <v>45793</v>
      </c>
      <c r="E316" t="s">
        <v>524</v>
      </c>
      <c r="F316" s="5">
        <v>365</v>
      </c>
      <c r="G316" s="6">
        <f t="shared" ca="1" si="14"/>
        <v>46150</v>
      </c>
      <c r="H316" s="7">
        <f t="shared" ca="1" si="12"/>
        <v>357</v>
      </c>
      <c r="I316" s="5" t="str">
        <f t="shared" ca="1" si="13"/>
        <v>Garansi</v>
      </c>
    </row>
    <row r="317" spans="1:9" x14ac:dyDescent="0.3">
      <c r="A317">
        <v>313</v>
      </c>
      <c r="B317" t="s">
        <v>389</v>
      </c>
      <c r="C317" t="s">
        <v>590</v>
      </c>
      <c r="D317" s="1">
        <v>45796</v>
      </c>
      <c r="E317" t="s">
        <v>525</v>
      </c>
      <c r="F317" s="5">
        <v>365</v>
      </c>
      <c r="G317" s="6">
        <f t="shared" ca="1" si="14"/>
        <v>46150</v>
      </c>
      <c r="H317" s="7">
        <f t="shared" ca="1" si="12"/>
        <v>354</v>
      </c>
      <c r="I317" s="5" t="str">
        <f t="shared" ca="1" si="13"/>
        <v>Garansi</v>
      </c>
    </row>
    <row r="318" spans="1:9" x14ac:dyDescent="0.3">
      <c r="A318">
        <v>314</v>
      </c>
      <c r="B318" t="s">
        <v>388</v>
      </c>
      <c r="C318" t="s">
        <v>591</v>
      </c>
      <c r="D318" s="1">
        <v>45800</v>
      </c>
      <c r="E318" t="s">
        <v>526</v>
      </c>
      <c r="F318" s="5">
        <v>365</v>
      </c>
      <c r="G318" s="6">
        <f t="shared" ca="1" si="14"/>
        <v>46150</v>
      </c>
      <c r="H318" s="7">
        <f t="shared" ca="1" si="12"/>
        <v>350</v>
      </c>
      <c r="I318" s="5" t="str">
        <f t="shared" ca="1" si="13"/>
        <v>Garansi</v>
      </c>
    </row>
    <row r="319" spans="1:9" x14ac:dyDescent="0.3">
      <c r="A319">
        <v>315</v>
      </c>
      <c r="B319" t="s">
        <v>389</v>
      </c>
      <c r="C319" t="s">
        <v>592</v>
      </c>
      <c r="D319" s="1">
        <v>45801</v>
      </c>
      <c r="E319" t="s">
        <v>527</v>
      </c>
      <c r="F319" s="5">
        <v>365</v>
      </c>
      <c r="G319" s="6">
        <f t="shared" ca="1" si="14"/>
        <v>46150</v>
      </c>
      <c r="H319" s="7">
        <f t="shared" ca="1" si="12"/>
        <v>349</v>
      </c>
      <c r="I319" s="5" t="str">
        <f t="shared" ca="1" si="13"/>
        <v>Garansi</v>
      </c>
    </row>
    <row r="320" spans="1:9" x14ac:dyDescent="0.3">
      <c r="A320">
        <v>316</v>
      </c>
      <c r="B320" t="s">
        <v>368</v>
      </c>
      <c r="C320" t="s">
        <v>593</v>
      </c>
      <c r="D320" s="1">
        <v>45802</v>
      </c>
      <c r="E320" t="s">
        <v>528</v>
      </c>
      <c r="F320" s="5">
        <v>365</v>
      </c>
      <c r="G320" s="6">
        <f t="shared" ca="1" si="14"/>
        <v>46150</v>
      </c>
      <c r="H320" s="7">
        <f t="shared" ca="1" si="12"/>
        <v>348</v>
      </c>
      <c r="I320" s="5" t="str">
        <f t="shared" ca="1" si="13"/>
        <v>Garansi</v>
      </c>
    </row>
    <row r="321" spans="1:9" x14ac:dyDescent="0.3">
      <c r="A321">
        <v>317</v>
      </c>
      <c r="B321" t="s">
        <v>364</v>
      </c>
      <c r="C321">
        <v>240735</v>
      </c>
      <c r="D321" s="1">
        <v>45803</v>
      </c>
      <c r="E321" t="s">
        <v>529</v>
      </c>
      <c r="F321" s="5">
        <v>365</v>
      </c>
      <c r="G321" s="6">
        <f t="shared" ca="1" si="14"/>
        <v>46150</v>
      </c>
      <c r="H321" s="7">
        <f t="shared" ca="1" si="12"/>
        <v>347</v>
      </c>
      <c r="I321" s="5" t="str">
        <f t="shared" ca="1" si="13"/>
        <v>Garansi</v>
      </c>
    </row>
    <row r="322" spans="1:9" x14ac:dyDescent="0.3">
      <c r="A322">
        <v>318</v>
      </c>
      <c r="B322" t="s">
        <v>389</v>
      </c>
      <c r="C322" t="s">
        <v>594</v>
      </c>
      <c r="D322" s="1">
        <v>45805</v>
      </c>
      <c r="E322" t="s">
        <v>530</v>
      </c>
      <c r="F322" s="5">
        <v>365</v>
      </c>
      <c r="G322" s="6">
        <f t="shared" ca="1" si="14"/>
        <v>46150</v>
      </c>
      <c r="H322" s="7">
        <f ca="1">G322-D322</f>
        <v>345</v>
      </c>
      <c r="I322" s="5" t="str">
        <f ca="1">IF(H322&gt;F322,"Tidak","Garansi")</f>
        <v>Garansi</v>
      </c>
    </row>
    <row r="323" spans="1:9" x14ac:dyDescent="0.3">
      <c r="A323">
        <v>319</v>
      </c>
      <c r="B323" t="s">
        <v>368</v>
      </c>
      <c r="C323" t="s">
        <v>966</v>
      </c>
      <c r="D323" s="1">
        <v>45818</v>
      </c>
      <c r="E323" t="s">
        <v>967</v>
      </c>
      <c r="F323" s="5">
        <v>365</v>
      </c>
      <c r="G323" s="6">
        <f t="shared" ca="1" si="14"/>
        <v>46150</v>
      </c>
      <c r="H323" s="7">
        <f t="shared" ref="H323:H393" ca="1" si="15">G323-D323</f>
        <v>332</v>
      </c>
      <c r="I323" s="5" t="str">
        <f t="shared" ref="I323:I386" ca="1" si="16">IF(H323&gt;F323,"Tidak","Garansi")</f>
        <v>Garansi</v>
      </c>
    </row>
    <row r="324" spans="1:9" x14ac:dyDescent="0.3">
      <c r="A324">
        <v>320</v>
      </c>
      <c r="B324" t="s">
        <v>368</v>
      </c>
      <c r="C324" t="s">
        <v>972</v>
      </c>
      <c r="D324" s="1">
        <v>45822</v>
      </c>
      <c r="E324" t="s">
        <v>481</v>
      </c>
      <c r="F324" s="5">
        <v>365</v>
      </c>
      <c r="G324" s="6">
        <f t="shared" ref="G324:G387" ca="1" si="17">TODAY()</f>
        <v>46150</v>
      </c>
      <c r="H324" s="7">
        <f t="shared" ca="1" si="15"/>
        <v>328</v>
      </c>
      <c r="I324" s="5" t="str">
        <f t="shared" ca="1" si="16"/>
        <v>Garansi</v>
      </c>
    </row>
    <row r="325" spans="1:9" x14ac:dyDescent="0.3">
      <c r="A325">
        <v>321</v>
      </c>
      <c r="B325" t="s">
        <v>388</v>
      </c>
      <c r="C325" t="s">
        <v>571</v>
      </c>
      <c r="D325" s="1">
        <v>45824</v>
      </c>
      <c r="E325" t="s">
        <v>968</v>
      </c>
      <c r="F325" s="5">
        <v>365</v>
      </c>
      <c r="G325" s="6">
        <f t="shared" ca="1" si="17"/>
        <v>46150</v>
      </c>
      <c r="H325" s="7">
        <f t="shared" ca="1" si="15"/>
        <v>326</v>
      </c>
      <c r="I325" s="5" t="str">
        <f t="shared" ca="1" si="16"/>
        <v>Garansi</v>
      </c>
    </row>
    <row r="326" spans="1:9" x14ac:dyDescent="0.3">
      <c r="A326">
        <v>322</v>
      </c>
      <c r="B326" t="s">
        <v>388</v>
      </c>
      <c r="C326" t="s">
        <v>973</v>
      </c>
      <c r="D326" s="1">
        <v>45826</v>
      </c>
      <c r="E326" t="s">
        <v>969</v>
      </c>
      <c r="F326" s="5">
        <v>365</v>
      </c>
      <c r="G326" s="6">
        <f t="shared" ca="1" si="17"/>
        <v>46150</v>
      </c>
      <c r="H326" s="7">
        <f t="shared" ca="1" si="15"/>
        <v>324</v>
      </c>
      <c r="I326" s="5" t="str">
        <f t="shared" ca="1" si="16"/>
        <v>Garansi</v>
      </c>
    </row>
    <row r="327" spans="1:9" x14ac:dyDescent="0.3">
      <c r="A327">
        <v>323</v>
      </c>
      <c r="B327" t="s">
        <v>368</v>
      </c>
      <c r="C327" t="s">
        <v>971</v>
      </c>
      <c r="D327" s="1">
        <v>45831</v>
      </c>
      <c r="E327" t="s">
        <v>970</v>
      </c>
      <c r="F327" s="5">
        <v>365</v>
      </c>
      <c r="G327" s="6">
        <f t="shared" ca="1" si="17"/>
        <v>46150</v>
      </c>
      <c r="H327" s="7">
        <f t="shared" ca="1" si="15"/>
        <v>319</v>
      </c>
      <c r="I327" s="5" t="str">
        <f t="shared" ca="1" si="16"/>
        <v>Garansi</v>
      </c>
    </row>
    <row r="328" spans="1:9" x14ac:dyDescent="0.3">
      <c r="A328">
        <v>324</v>
      </c>
      <c r="B328" t="s">
        <v>389</v>
      </c>
      <c r="C328" t="s">
        <v>985</v>
      </c>
      <c r="D328" s="1">
        <v>45842</v>
      </c>
      <c r="E328" t="s">
        <v>974</v>
      </c>
      <c r="F328" s="5">
        <v>365</v>
      </c>
      <c r="G328" s="6">
        <f t="shared" ca="1" si="17"/>
        <v>46150</v>
      </c>
      <c r="H328" s="7">
        <f t="shared" ca="1" si="15"/>
        <v>308</v>
      </c>
      <c r="I328" s="5" t="str">
        <f t="shared" ca="1" si="16"/>
        <v>Garansi</v>
      </c>
    </row>
    <row r="329" spans="1:9" x14ac:dyDescent="0.3">
      <c r="A329">
        <v>325</v>
      </c>
      <c r="B329" t="s">
        <v>341</v>
      </c>
      <c r="C329" t="s">
        <v>986</v>
      </c>
      <c r="D329" s="1">
        <v>45849</v>
      </c>
      <c r="E329" t="s">
        <v>987</v>
      </c>
      <c r="F329" s="5">
        <v>365</v>
      </c>
      <c r="G329" s="6">
        <f t="shared" ca="1" si="17"/>
        <v>46150</v>
      </c>
      <c r="H329" s="7">
        <f t="shared" ca="1" si="15"/>
        <v>301</v>
      </c>
      <c r="I329" s="5" t="str">
        <f t="shared" ca="1" si="16"/>
        <v>Garansi</v>
      </c>
    </row>
    <row r="330" spans="1:9" x14ac:dyDescent="0.3">
      <c r="A330">
        <v>326</v>
      </c>
      <c r="B330" t="s">
        <v>388</v>
      </c>
      <c r="C330" t="s">
        <v>984</v>
      </c>
      <c r="D330" s="1">
        <v>45849</v>
      </c>
      <c r="E330" t="s">
        <v>975</v>
      </c>
      <c r="F330" s="5">
        <v>365</v>
      </c>
      <c r="G330" s="6">
        <f t="shared" ca="1" si="17"/>
        <v>46150</v>
      </c>
      <c r="H330" s="7">
        <f t="shared" ca="1" si="15"/>
        <v>301</v>
      </c>
      <c r="I330" s="5" t="str">
        <f t="shared" ca="1" si="16"/>
        <v>Garansi</v>
      </c>
    </row>
    <row r="331" spans="1:9" x14ac:dyDescent="0.3">
      <c r="A331">
        <v>327</v>
      </c>
      <c r="B331" t="s">
        <v>982</v>
      </c>
      <c r="C331" t="s">
        <v>983</v>
      </c>
      <c r="D331" s="1">
        <v>45850</v>
      </c>
      <c r="E331" t="s">
        <v>976</v>
      </c>
      <c r="F331" s="5">
        <v>365</v>
      </c>
      <c r="G331" s="6">
        <f t="shared" ca="1" si="17"/>
        <v>46150</v>
      </c>
      <c r="H331" s="7">
        <f t="shared" ca="1" si="15"/>
        <v>300</v>
      </c>
      <c r="I331" s="5" t="str">
        <f t="shared" ca="1" si="16"/>
        <v>Garansi</v>
      </c>
    </row>
    <row r="332" spans="1:9" x14ac:dyDescent="0.3">
      <c r="A332">
        <v>328</v>
      </c>
      <c r="B332" t="s">
        <v>368</v>
      </c>
      <c r="C332" t="s">
        <v>981</v>
      </c>
      <c r="D332" s="1">
        <v>45866</v>
      </c>
      <c r="E332" t="s">
        <v>977</v>
      </c>
      <c r="F332" s="5">
        <v>365</v>
      </c>
      <c r="G332" s="6">
        <f t="shared" ca="1" si="17"/>
        <v>46150</v>
      </c>
      <c r="H332" s="7">
        <f t="shared" ca="1" si="15"/>
        <v>284</v>
      </c>
      <c r="I332" s="5" t="str">
        <f t="shared" ca="1" si="16"/>
        <v>Garansi</v>
      </c>
    </row>
    <row r="333" spans="1:9" x14ac:dyDescent="0.3">
      <c r="A333">
        <v>329</v>
      </c>
      <c r="B333" t="s">
        <v>388</v>
      </c>
      <c r="C333" t="s">
        <v>956</v>
      </c>
      <c r="D333" s="1">
        <v>45866</v>
      </c>
      <c r="E333" t="s">
        <v>978</v>
      </c>
      <c r="F333" s="5">
        <v>365</v>
      </c>
      <c r="G333" s="6">
        <f t="shared" ca="1" si="17"/>
        <v>46150</v>
      </c>
      <c r="H333" s="7">
        <f t="shared" ca="1" si="15"/>
        <v>284</v>
      </c>
      <c r="I333" s="5" t="str">
        <f t="shared" ca="1" si="16"/>
        <v>Garansi</v>
      </c>
    </row>
    <row r="334" spans="1:9" x14ac:dyDescent="0.3">
      <c r="A334">
        <v>330</v>
      </c>
      <c r="B334" t="s">
        <v>341</v>
      </c>
      <c r="C334" t="s">
        <v>980</v>
      </c>
      <c r="D334" s="1">
        <v>45868</v>
      </c>
      <c r="E334" t="s">
        <v>979</v>
      </c>
      <c r="F334" s="5">
        <v>365</v>
      </c>
      <c r="G334" s="6">
        <f t="shared" ca="1" si="17"/>
        <v>46150</v>
      </c>
      <c r="H334" s="7">
        <f t="shared" ca="1" si="15"/>
        <v>282</v>
      </c>
      <c r="I334" s="5" t="str">
        <f t="shared" ca="1" si="16"/>
        <v>Garansi</v>
      </c>
    </row>
    <row r="335" spans="1:9" x14ac:dyDescent="0.3">
      <c r="A335">
        <v>331</v>
      </c>
      <c r="B335" t="s">
        <v>388</v>
      </c>
      <c r="C335" t="s">
        <v>988</v>
      </c>
      <c r="D335" s="1">
        <v>45894</v>
      </c>
      <c r="E335" t="s">
        <v>990</v>
      </c>
      <c r="F335" s="5">
        <v>365</v>
      </c>
      <c r="G335" s="6">
        <f t="shared" ca="1" si="17"/>
        <v>46150</v>
      </c>
      <c r="H335" s="7">
        <f t="shared" ca="1" si="15"/>
        <v>256</v>
      </c>
      <c r="I335" s="5" t="str">
        <f t="shared" ca="1" si="16"/>
        <v>Garansi</v>
      </c>
    </row>
    <row r="336" spans="1:9" x14ac:dyDescent="0.3">
      <c r="A336">
        <v>332</v>
      </c>
      <c r="B336" t="s">
        <v>341</v>
      </c>
      <c r="C336" t="s">
        <v>980</v>
      </c>
      <c r="D336" s="1">
        <v>45897</v>
      </c>
      <c r="E336" t="s">
        <v>989</v>
      </c>
      <c r="F336" s="5">
        <v>365</v>
      </c>
      <c r="G336" s="6">
        <f t="shared" ca="1" si="17"/>
        <v>46150</v>
      </c>
      <c r="H336" s="7">
        <f t="shared" ca="1" si="15"/>
        <v>253</v>
      </c>
      <c r="I336" s="5" t="str">
        <f t="shared" ca="1" si="16"/>
        <v>Garansi</v>
      </c>
    </row>
    <row r="337" spans="1:9" x14ac:dyDescent="0.3">
      <c r="A337">
        <v>333</v>
      </c>
      <c r="B337" t="s">
        <v>389</v>
      </c>
      <c r="C337" t="s">
        <v>995</v>
      </c>
      <c r="D337" s="1">
        <v>45911</v>
      </c>
      <c r="E337" t="s">
        <v>991</v>
      </c>
      <c r="F337" s="5">
        <v>365</v>
      </c>
      <c r="G337" s="6">
        <f t="shared" ca="1" si="17"/>
        <v>46150</v>
      </c>
      <c r="H337" s="7">
        <f t="shared" ca="1" si="15"/>
        <v>239</v>
      </c>
      <c r="I337" s="5" t="str">
        <f t="shared" ca="1" si="16"/>
        <v>Garansi</v>
      </c>
    </row>
    <row r="338" spans="1:9" x14ac:dyDescent="0.3">
      <c r="A338">
        <v>334</v>
      </c>
      <c r="B338" t="s">
        <v>364</v>
      </c>
      <c r="C338" t="s">
        <v>994</v>
      </c>
      <c r="D338" s="1">
        <v>45923</v>
      </c>
      <c r="E338" t="s">
        <v>992</v>
      </c>
      <c r="F338" s="5">
        <v>365</v>
      </c>
      <c r="G338" s="6">
        <f t="shared" ca="1" si="17"/>
        <v>46150</v>
      </c>
      <c r="H338" s="7">
        <f t="shared" ca="1" si="15"/>
        <v>227</v>
      </c>
      <c r="I338" s="5" t="str">
        <f t="shared" ca="1" si="16"/>
        <v>Garansi</v>
      </c>
    </row>
    <row r="339" spans="1:9" x14ac:dyDescent="0.3">
      <c r="A339">
        <v>335</v>
      </c>
      <c r="B339" t="s">
        <v>207</v>
      </c>
      <c r="C339" t="s">
        <v>996</v>
      </c>
      <c r="D339" s="1">
        <v>45926</v>
      </c>
      <c r="E339" t="s">
        <v>993</v>
      </c>
      <c r="F339" s="5">
        <v>365</v>
      </c>
      <c r="G339" s="6">
        <f t="shared" ca="1" si="17"/>
        <v>46150</v>
      </c>
      <c r="H339" s="7">
        <f t="shared" ca="1" si="15"/>
        <v>224</v>
      </c>
      <c r="I339" s="5" t="str">
        <f t="shared" ca="1" si="16"/>
        <v>Garansi</v>
      </c>
    </row>
    <row r="340" spans="1:9" x14ac:dyDescent="0.3">
      <c r="A340">
        <v>336</v>
      </c>
      <c r="B340" t="s">
        <v>368</v>
      </c>
      <c r="C340" t="s">
        <v>1003</v>
      </c>
      <c r="D340" s="1">
        <v>45940</v>
      </c>
      <c r="E340" t="s">
        <v>997</v>
      </c>
      <c r="F340" s="5">
        <v>365</v>
      </c>
      <c r="G340" s="6">
        <f t="shared" ca="1" si="17"/>
        <v>46150</v>
      </c>
      <c r="H340" s="7">
        <f t="shared" ca="1" si="15"/>
        <v>210</v>
      </c>
      <c r="I340" s="5" t="str">
        <f t="shared" ca="1" si="16"/>
        <v>Garansi</v>
      </c>
    </row>
    <row r="341" spans="1:9" x14ac:dyDescent="0.3">
      <c r="A341">
        <v>337</v>
      </c>
      <c r="B341" t="s">
        <v>364</v>
      </c>
      <c r="C341" t="s">
        <v>1004</v>
      </c>
      <c r="D341" s="1">
        <v>45947</v>
      </c>
      <c r="E341" t="s">
        <v>998</v>
      </c>
      <c r="F341" s="5">
        <v>365</v>
      </c>
      <c r="G341" s="6">
        <f t="shared" ca="1" si="17"/>
        <v>46150</v>
      </c>
      <c r="H341" s="7">
        <f t="shared" ca="1" si="15"/>
        <v>203</v>
      </c>
      <c r="I341" s="5" t="str">
        <f t="shared" ca="1" si="16"/>
        <v>Garansi</v>
      </c>
    </row>
    <row r="342" spans="1:9" x14ac:dyDescent="0.3">
      <c r="A342">
        <v>338</v>
      </c>
      <c r="B342" t="s">
        <v>389</v>
      </c>
      <c r="C342" t="s">
        <v>1005</v>
      </c>
      <c r="D342" s="1">
        <v>45954</v>
      </c>
      <c r="E342" t="s">
        <v>999</v>
      </c>
      <c r="F342" s="5">
        <v>365</v>
      </c>
      <c r="G342" s="6">
        <f t="shared" ca="1" si="17"/>
        <v>46150</v>
      </c>
      <c r="H342" s="7">
        <f t="shared" ca="1" si="15"/>
        <v>196</v>
      </c>
      <c r="I342" s="5" t="str">
        <f t="shared" ca="1" si="16"/>
        <v>Garansi</v>
      </c>
    </row>
    <row r="343" spans="1:9" x14ac:dyDescent="0.3">
      <c r="A343">
        <v>339</v>
      </c>
      <c r="B343" t="s">
        <v>389</v>
      </c>
      <c r="C343" t="s">
        <v>1006</v>
      </c>
      <c r="D343" s="1">
        <v>45957</v>
      </c>
      <c r="E343" t="s">
        <v>1007</v>
      </c>
      <c r="F343" s="5">
        <v>365</v>
      </c>
      <c r="G343" s="6">
        <f t="shared" ca="1" si="17"/>
        <v>46150</v>
      </c>
      <c r="H343" s="7">
        <f t="shared" ca="1" si="15"/>
        <v>193</v>
      </c>
      <c r="I343" s="5" t="str">
        <f t="shared" ca="1" si="16"/>
        <v>Garansi</v>
      </c>
    </row>
    <row r="344" spans="1:9" x14ac:dyDescent="0.3">
      <c r="A344">
        <v>340</v>
      </c>
      <c r="B344" t="s">
        <v>1009</v>
      </c>
      <c r="C344" t="s">
        <v>1008</v>
      </c>
      <c r="D344" s="1">
        <v>45958</v>
      </c>
      <c r="E344" t="s">
        <v>1002</v>
      </c>
      <c r="F344" s="5">
        <v>365</v>
      </c>
      <c r="G344" s="6">
        <f t="shared" ca="1" si="17"/>
        <v>46150</v>
      </c>
      <c r="H344" s="7">
        <f t="shared" ca="1" si="15"/>
        <v>192</v>
      </c>
      <c r="I344" s="5" t="str">
        <f t="shared" ca="1" si="16"/>
        <v>Garansi</v>
      </c>
    </row>
    <row r="345" spans="1:9" x14ac:dyDescent="0.3">
      <c r="A345">
        <v>341</v>
      </c>
      <c r="B345" t="s">
        <v>368</v>
      </c>
      <c r="C345" t="s">
        <v>1011</v>
      </c>
      <c r="D345" s="1">
        <v>45958</v>
      </c>
      <c r="E345" t="s">
        <v>1000</v>
      </c>
      <c r="F345" s="5">
        <v>365</v>
      </c>
      <c r="G345" s="6">
        <f t="shared" ca="1" si="17"/>
        <v>46150</v>
      </c>
      <c r="H345" s="7">
        <f t="shared" ca="1" si="15"/>
        <v>192</v>
      </c>
      <c r="I345" s="5" t="str">
        <f t="shared" ca="1" si="16"/>
        <v>Garansi</v>
      </c>
    </row>
    <row r="346" spans="1:9" x14ac:dyDescent="0.3">
      <c r="A346">
        <v>342</v>
      </c>
      <c r="B346" t="s">
        <v>368</v>
      </c>
      <c r="C346" t="s">
        <v>1010</v>
      </c>
      <c r="D346" s="1">
        <v>45958</v>
      </c>
      <c r="E346" t="s">
        <v>1001</v>
      </c>
      <c r="F346" s="5">
        <v>365</v>
      </c>
      <c r="G346" s="6">
        <f t="shared" ca="1" si="17"/>
        <v>46150</v>
      </c>
      <c r="H346" s="7">
        <f t="shared" ca="1" si="15"/>
        <v>192</v>
      </c>
      <c r="I346" s="5" t="str">
        <f t="shared" ca="1" si="16"/>
        <v>Garansi</v>
      </c>
    </row>
    <row r="347" spans="1:9" x14ac:dyDescent="0.3">
      <c r="A347">
        <v>343</v>
      </c>
      <c r="B347" t="s">
        <v>389</v>
      </c>
      <c r="C347" t="s">
        <v>1018</v>
      </c>
      <c r="D347" s="1">
        <v>45979</v>
      </c>
      <c r="E347" t="s">
        <v>1012</v>
      </c>
      <c r="F347" s="5">
        <v>365</v>
      </c>
      <c r="G347" s="6">
        <f t="shared" ca="1" si="17"/>
        <v>46150</v>
      </c>
      <c r="H347" s="7">
        <f ca="1">G347-D347</f>
        <v>171</v>
      </c>
      <c r="I347" s="5" t="str">
        <f t="shared" ca="1" si="16"/>
        <v>Garansi</v>
      </c>
    </row>
    <row r="348" spans="1:9" x14ac:dyDescent="0.3">
      <c r="A348">
        <v>344</v>
      </c>
      <c r="B348" t="s">
        <v>368</v>
      </c>
      <c r="C348" t="s">
        <v>1019</v>
      </c>
      <c r="D348" s="1">
        <v>45979</v>
      </c>
      <c r="E348" t="s">
        <v>1013</v>
      </c>
      <c r="F348" s="5">
        <v>365</v>
      </c>
      <c r="G348" s="6">
        <f t="shared" ca="1" si="17"/>
        <v>46150</v>
      </c>
      <c r="H348" s="7">
        <f t="shared" ca="1" si="15"/>
        <v>171</v>
      </c>
      <c r="I348" s="5" t="str">
        <f t="shared" ca="1" si="16"/>
        <v>Garansi</v>
      </c>
    </row>
    <row r="349" spans="1:9" x14ac:dyDescent="0.3">
      <c r="A349">
        <v>345</v>
      </c>
      <c r="B349" t="s">
        <v>388</v>
      </c>
      <c r="C349" t="s">
        <v>1020</v>
      </c>
      <c r="D349" s="1">
        <v>45982</v>
      </c>
      <c r="E349" t="s">
        <v>1014</v>
      </c>
      <c r="F349" s="5">
        <v>365</v>
      </c>
      <c r="G349" s="6">
        <f t="shared" ca="1" si="17"/>
        <v>46150</v>
      </c>
      <c r="H349" s="7">
        <f t="shared" ca="1" si="15"/>
        <v>168</v>
      </c>
      <c r="I349" s="5" t="str">
        <f t="shared" ca="1" si="16"/>
        <v>Garansi</v>
      </c>
    </row>
    <row r="350" spans="1:9" x14ac:dyDescent="0.3">
      <c r="A350">
        <v>346</v>
      </c>
      <c r="B350" t="s">
        <v>388</v>
      </c>
      <c r="C350" t="s">
        <v>1021</v>
      </c>
      <c r="D350" s="1">
        <v>45985</v>
      </c>
      <c r="E350" t="s">
        <v>1015</v>
      </c>
      <c r="F350" s="5">
        <v>365</v>
      </c>
      <c r="G350" s="6">
        <f t="shared" ca="1" si="17"/>
        <v>46150</v>
      </c>
      <c r="H350" s="7">
        <f t="shared" ca="1" si="15"/>
        <v>165</v>
      </c>
      <c r="I350" s="5" t="str">
        <f t="shared" ca="1" si="16"/>
        <v>Garansi</v>
      </c>
    </row>
    <row r="351" spans="1:9" x14ac:dyDescent="0.3">
      <c r="A351">
        <v>347</v>
      </c>
      <c r="B351" t="s">
        <v>388</v>
      </c>
      <c r="C351" t="s">
        <v>1022</v>
      </c>
      <c r="D351" s="1">
        <v>45985</v>
      </c>
      <c r="E351" t="s">
        <v>1383</v>
      </c>
      <c r="F351" s="5">
        <v>365</v>
      </c>
      <c r="G351" s="6">
        <f t="shared" ca="1" si="17"/>
        <v>46150</v>
      </c>
      <c r="H351" s="7">
        <f t="shared" ca="1" si="15"/>
        <v>165</v>
      </c>
      <c r="I351" s="5" t="str">
        <f t="shared" ca="1" si="16"/>
        <v>Garansi</v>
      </c>
    </row>
    <row r="352" spans="1:9" x14ac:dyDescent="0.3">
      <c r="A352">
        <v>348</v>
      </c>
      <c r="B352" t="s">
        <v>341</v>
      </c>
      <c r="C352" t="s">
        <v>1024</v>
      </c>
      <c r="D352" s="1">
        <v>45985</v>
      </c>
      <c r="E352" t="s">
        <v>1016</v>
      </c>
      <c r="F352" s="5">
        <v>365</v>
      </c>
      <c r="G352" s="6">
        <f t="shared" ca="1" si="17"/>
        <v>46150</v>
      </c>
      <c r="H352" s="7">
        <f t="shared" ca="1" si="15"/>
        <v>165</v>
      </c>
      <c r="I352" s="5" t="str">
        <f t="shared" ca="1" si="16"/>
        <v>Garansi</v>
      </c>
    </row>
    <row r="353" spans="1:9" x14ac:dyDescent="0.3">
      <c r="A353">
        <v>349</v>
      </c>
      <c r="B353" t="s">
        <v>368</v>
      </c>
      <c r="C353" t="s">
        <v>1025</v>
      </c>
      <c r="D353" s="1">
        <v>45986</v>
      </c>
      <c r="E353" t="s">
        <v>1017</v>
      </c>
      <c r="F353" s="5">
        <v>365</v>
      </c>
      <c r="G353" s="6">
        <f t="shared" ca="1" si="17"/>
        <v>46150</v>
      </c>
      <c r="H353" s="7">
        <f t="shared" ca="1" si="15"/>
        <v>164</v>
      </c>
      <c r="I353" s="5" t="str">
        <f t="shared" ca="1" si="16"/>
        <v>Garansi</v>
      </c>
    </row>
    <row r="354" spans="1:9" x14ac:dyDescent="0.3">
      <c r="A354">
        <v>350</v>
      </c>
      <c r="B354" t="s">
        <v>387</v>
      </c>
      <c r="C354" t="s">
        <v>1027</v>
      </c>
      <c r="D354" s="1">
        <v>45993</v>
      </c>
      <c r="E354" t="s">
        <v>1026</v>
      </c>
      <c r="F354" s="5">
        <v>365</v>
      </c>
      <c r="G354" s="6">
        <f t="shared" ca="1" si="17"/>
        <v>46150</v>
      </c>
      <c r="H354" s="7">
        <f t="shared" ca="1" si="15"/>
        <v>157</v>
      </c>
      <c r="I354" s="5" t="str">
        <f t="shared" ca="1" si="16"/>
        <v>Garansi</v>
      </c>
    </row>
    <row r="355" spans="1:9" x14ac:dyDescent="0.3">
      <c r="A355">
        <v>351</v>
      </c>
      <c r="B355" t="s">
        <v>388</v>
      </c>
      <c r="C355" t="s">
        <v>1028</v>
      </c>
      <c r="D355" s="1">
        <v>45993</v>
      </c>
      <c r="E355" t="s">
        <v>1030</v>
      </c>
      <c r="F355" s="5">
        <v>365</v>
      </c>
      <c r="G355" s="6">
        <f t="shared" ca="1" si="17"/>
        <v>46150</v>
      </c>
      <c r="H355" s="7">
        <f t="shared" ca="1" si="15"/>
        <v>157</v>
      </c>
      <c r="I355" s="5" t="str">
        <f t="shared" ca="1" si="16"/>
        <v>Garansi</v>
      </c>
    </row>
    <row r="356" spans="1:9" x14ac:dyDescent="0.3">
      <c r="A356">
        <v>352</v>
      </c>
      <c r="B356" t="s">
        <v>341</v>
      </c>
      <c r="C356" t="s">
        <v>1024</v>
      </c>
      <c r="D356" s="1">
        <v>45999</v>
      </c>
      <c r="E356" t="s">
        <v>1029</v>
      </c>
      <c r="F356" s="5">
        <v>365</v>
      </c>
      <c r="G356" s="6">
        <f t="shared" ca="1" si="17"/>
        <v>46150</v>
      </c>
      <c r="H356" s="7">
        <f t="shared" ca="1" si="15"/>
        <v>151</v>
      </c>
      <c r="I356" s="5" t="str">
        <f t="shared" ca="1" si="16"/>
        <v>Garansi</v>
      </c>
    </row>
    <row r="357" spans="1:9" x14ac:dyDescent="0.3">
      <c r="A357">
        <v>353</v>
      </c>
      <c r="B357" t="s">
        <v>341</v>
      </c>
      <c r="C357" t="s">
        <v>1612</v>
      </c>
      <c r="D357" s="1">
        <v>46007</v>
      </c>
      <c r="E357" t="s">
        <v>1611</v>
      </c>
      <c r="F357" s="5">
        <v>365</v>
      </c>
      <c r="G357" s="6">
        <f t="shared" ca="1" si="17"/>
        <v>46150</v>
      </c>
      <c r="H357" s="7">
        <f t="shared" ca="1" si="15"/>
        <v>143</v>
      </c>
      <c r="I357" s="5" t="str">
        <f t="shared" ca="1" si="16"/>
        <v>Garansi</v>
      </c>
    </row>
    <row r="358" spans="1:9" x14ac:dyDescent="0.3">
      <c r="A358">
        <v>354</v>
      </c>
      <c r="B358" t="s">
        <v>341</v>
      </c>
      <c r="C358" t="s">
        <v>1612</v>
      </c>
      <c r="D358" s="1">
        <v>46006</v>
      </c>
      <c r="E358" t="s">
        <v>1613</v>
      </c>
      <c r="F358" s="5">
        <v>365</v>
      </c>
      <c r="G358" s="6">
        <f t="shared" ca="1" si="17"/>
        <v>46150</v>
      </c>
      <c r="H358" s="7">
        <f t="shared" ca="1" si="15"/>
        <v>144</v>
      </c>
      <c r="I358" s="5" t="str">
        <f t="shared" ca="1" si="16"/>
        <v>Garansi</v>
      </c>
    </row>
    <row r="359" spans="1:9" x14ac:dyDescent="0.3">
      <c r="A359">
        <v>355</v>
      </c>
      <c r="B359" t="s">
        <v>341</v>
      </c>
      <c r="C359" t="s">
        <v>1612</v>
      </c>
      <c r="D359" s="1">
        <v>46007</v>
      </c>
      <c r="E359" t="s">
        <v>1605</v>
      </c>
      <c r="F359" s="5">
        <v>365</v>
      </c>
      <c r="G359" s="6">
        <f t="shared" ca="1" si="17"/>
        <v>46150</v>
      </c>
      <c r="H359" s="7">
        <f t="shared" ca="1" si="15"/>
        <v>143</v>
      </c>
      <c r="I359" s="5" t="str">
        <f t="shared" ca="1" si="16"/>
        <v>Garansi</v>
      </c>
    </row>
    <row r="360" spans="1:9" x14ac:dyDescent="0.3">
      <c r="A360">
        <v>356</v>
      </c>
      <c r="B360" t="s">
        <v>389</v>
      </c>
      <c r="C360" t="s">
        <v>1464</v>
      </c>
      <c r="D360" s="1">
        <v>46008</v>
      </c>
      <c r="E360" t="s">
        <v>1606</v>
      </c>
      <c r="F360" s="5">
        <v>365</v>
      </c>
      <c r="G360" s="6">
        <f t="shared" ca="1" si="17"/>
        <v>46150</v>
      </c>
      <c r="H360" s="7">
        <f t="shared" ca="1" si="15"/>
        <v>142</v>
      </c>
      <c r="I360" s="5" t="str">
        <f t="shared" ca="1" si="16"/>
        <v>Garansi</v>
      </c>
    </row>
    <row r="361" spans="1:9" x14ac:dyDescent="0.3">
      <c r="A361">
        <v>357</v>
      </c>
      <c r="B361" t="s">
        <v>368</v>
      </c>
      <c r="C361" t="s">
        <v>1614</v>
      </c>
      <c r="D361" s="1">
        <v>46010</v>
      </c>
      <c r="E361" t="s">
        <v>1607</v>
      </c>
      <c r="F361" s="5">
        <v>365</v>
      </c>
      <c r="G361" s="6">
        <f t="shared" ca="1" si="17"/>
        <v>46150</v>
      </c>
      <c r="H361" s="7">
        <f t="shared" ca="1" si="15"/>
        <v>140</v>
      </c>
      <c r="I361" s="5" t="str">
        <f t="shared" ca="1" si="16"/>
        <v>Garansi</v>
      </c>
    </row>
    <row r="362" spans="1:9" x14ac:dyDescent="0.3">
      <c r="A362">
        <v>358</v>
      </c>
      <c r="B362" t="s">
        <v>341</v>
      </c>
      <c r="C362" t="s">
        <v>1024</v>
      </c>
      <c r="D362" s="1">
        <v>46011</v>
      </c>
      <c r="E362" t="s">
        <v>1608</v>
      </c>
      <c r="F362" s="5">
        <v>365</v>
      </c>
      <c r="G362" s="6">
        <f t="shared" ca="1" si="17"/>
        <v>46150</v>
      </c>
      <c r="H362" s="7">
        <f t="shared" ca="1" si="15"/>
        <v>139</v>
      </c>
      <c r="I362" s="5" t="str">
        <f t="shared" ca="1" si="16"/>
        <v>Garansi</v>
      </c>
    </row>
    <row r="363" spans="1:9" x14ac:dyDescent="0.3">
      <c r="A363">
        <v>359</v>
      </c>
      <c r="B363" t="s">
        <v>388</v>
      </c>
      <c r="C363" t="s">
        <v>1615</v>
      </c>
      <c r="D363" s="1">
        <v>46013</v>
      </c>
      <c r="E363" t="s">
        <v>1609</v>
      </c>
      <c r="F363" s="5">
        <v>365</v>
      </c>
      <c r="G363" s="6">
        <f t="shared" ca="1" si="17"/>
        <v>46150</v>
      </c>
      <c r="H363" s="7">
        <f t="shared" ca="1" si="15"/>
        <v>137</v>
      </c>
      <c r="I363" s="5" t="str">
        <f t="shared" ca="1" si="16"/>
        <v>Garansi</v>
      </c>
    </row>
    <row r="364" spans="1:9" x14ac:dyDescent="0.3">
      <c r="A364">
        <v>360</v>
      </c>
      <c r="B364" t="s">
        <v>388</v>
      </c>
      <c r="C364" t="s">
        <v>1616</v>
      </c>
      <c r="D364" s="1">
        <v>46013</v>
      </c>
      <c r="E364" t="s">
        <v>1353</v>
      </c>
      <c r="F364" s="5">
        <v>365</v>
      </c>
      <c r="G364" s="6">
        <f t="shared" ca="1" si="17"/>
        <v>46150</v>
      </c>
      <c r="H364" s="7">
        <f t="shared" ca="1" si="15"/>
        <v>137</v>
      </c>
      <c r="I364" s="5" t="str">
        <f t="shared" ca="1" si="16"/>
        <v>Garansi</v>
      </c>
    </row>
    <row r="365" spans="1:9" x14ac:dyDescent="0.3">
      <c r="A365">
        <v>361</v>
      </c>
      <c r="B365" t="s">
        <v>389</v>
      </c>
      <c r="C365" t="s">
        <v>1577</v>
      </c>
      <c r="D365" s="1">
        <v>46020</v>
      </c>
      <c r="E365" t="s">
        <v>1610</v>
      </c>
      <c r="F365" s="5">
        <v>365</v>
      </c>
      <c r="G365" s="6">
        <f t="shared" ca="1" si="17"/>
        <v>46150</v>
      </c>
      <c r="H365" s="7">
        <f t="shared" ca="1" si="15"/>
        <v>130</v>
      </c>
      <c r="I365" s="5" t="str">
        <f t="shared" ca="1" si="16"/>
        <v>Garansi</v>
      </c>
    </row>
    <row r="366" spans="1:9" x14ac:dyDescent="0.3">
      <c r="A366">
        <v>362</v>
      </c>
      <c r="B366" t="s">
        <v>389</v>
      </c>
      <c r="C366" t="s">
        <v>1361</v>
      </c>
      <c r="D366" s="1">
        <v>46026</v>
      </c>
      <c r="E366" t="s">
        <v>1627</v>
      </c>
      <c r="F366" s="5">
        <v>365</v>
      </c>
      <c r="G366" s="6">
        <f t="shared" ca="1" si="17"/>
        <v>46150</v>
      </c>
      <c r="H366" s="7">
        <f t="shared" ca="1" si="15"/>
        <v>124</v>
      </c>
      <c r="I366" s="5" t="str">
        <f t="shared" ca="1" si="16"/>
        <v>Garansi</v>
      </c>
    </row>
    <row r="367" spans="1:9" x14ac:dyDescent="0.3">
      <c r="A367">
        <v>363</v>
      </c>
      <c r="B367" t="s">
        <v>389</v>
      </c>
      <c r="C367" t="s">
        <v>1536</v>
      </c>
      <c r="D367" s="1">
        <v>46030</v>
      </c>
      <c r="E367" t="s">
        <v>1636</v>
      </c>
      <c r="F367" s="5">
        <v>365</v>
      </c>
      <c r="G367" s="6">
        <f t="shared" ca="1" si="17"/>
        <v>46150</v>
      </c>
      <c r="H367" s="7">
        <f t="shared" ca="1" si="15"/>
        <v>120</v>
      </c>
      <c r="I367" s="5" t="str">
        <f t="shared" ca="1" si="16"/>
        <v>Garansi</v>
      </c>
    </row>
    <row r="368" spans="1:9" x14ac:dyDescent="0.3">
      <c r="A368">
        <v>364</v>
      </c>
      <c r="B368" t="s">
        <v>341</v>
      </c>
      <c r="C368" t="s">
        <v>1024</v>
      </c>
      <c r="D368" s="1">
        <v>46032</v>
      </c>
      <c r="E368" t="s">
        <v>1638</v>
      </c>
      <c r="F368" s="5">
        <v>365</v>
      </c>
      <c r="G368" s="6">
        <f t="shared" ca="1" si="17"/>
        <v>46150</v>
      </c>
      <c r="H368" s="7">
        <f t="shared" ca="1" si="15"/>
        <v>118</v>
      </c>
      <c r="I368" s="5" t="str">
        <f t="shared" ca="1" si="16"/>
        <v>Garansi</v>
      </c>
    </row>
    <row r="369" spans="1:9" x14ac:dyDescent="0.3">
      <c r="A369">
        <v>365</v>
      </c>
      <c r="B369" t="s">
        <v>341</v>
      </c>
      <c r="C369" t="s">
        <v>1641</v>
      </c>
      <c r="D369" s="1">
        <v>46032</v>
      </c>
      <c r="E369" t="s">
        <v>1640</v>
      </c>
      <c r="F369" s="5">
        <v>365</v>
      </c>
      <c r="G369" s="6">
        <f t="shared" ca="1" si="17"/>
        <v>46150</v>
      </c>
      <c r="H369" s="7">
        <f t="shared" ca="1" si="15"/>
        <v>118</v>
      </c>
      <c r="I369" s="5" t="str">
        <f t="shared" ca="1" si="16"/>
        <v>Garansi</v>
      </c>
    </row>
    <row r="370" spans="1:9" x14ac:dyDescent="0.3">
      <c r="A370">
        <v>366</v>
      </c>
      <c r="B370" t="s">
        <v>341</v>
      </c>
      <c r="C370" t="s">
        <v>1024</v>
      </c>
      <c r="D370" s="1">
        <v>46040</v>
      </c>
      <c r="E370" t="s">
        <v>1643</v>
      </c>
      <c r="F370" s="5">
        <v>365</v>
      </c>
      <c r="G370" s="6">
        <f t="shared" ca="1" si="17"/>
        <v>46150</v>
      </c>
      <c r="H370" s="7">
        <f t="shared" ca="1" si="15"/>
        <v>110</v>
      </c>
      <c r="I370" s="5" t="str">
        <f t="shared" ca="1" si="16"/>
        <v>Garansi</v>
      </c>
    </row>
    <row r="371" spans="1:9" x14ac:dyDescent="0.3">
      <c r="A371">
        <v>367</v>
      </c>
      <c r="B371" t="s">
        <v>373</v>
      </c>
      <c r="C371" t="s">
        <v>1646</v>
      </c>
      <c r="D371" s="1">
        <v>46045</v>
      </c>
      <c r="E371" t="s">
        <v>1645</v>
      </c>
      <c r="F371" s="5">
        <v>365</v>
      </c>
      <c r="G371" s="6">
        <f t="shared" ca="1" si="17"/>
        <v>46150</v>
      </c>
      <c r="H371" s="7">
        <f t="shared" ca="1" si="15"/>
        <v>105</v>
      </c>
      <c r="I371" s="5" t="str">
        <f t="shared" ca="1" si="16"/>
        <v>Garansi</v>
      </c>
    </row>
    <row r="372" spans="1:9" x14ac:dyDescent="0.3">
      <c r="A372">
        <v>368</v>
      </c>
      <c r="B372" t="s">
        <v>373</v>
      </c>
      <c r="C372" t="s">
        <v>1648</v>
      </c>
      <c r="D372" s="1">
        <v>46045</v>
      </c>
      <c r="E372" t="s">
        <v>1649</v>
      </c>
      <c r="F372" s="5">
        <v>365</v>
      </c>
      <c r="G372" s="6">
        <f t="shared" ca="1" si="17"/>
        <v>46150</v>
      </c>
      <c r="H372" s="7">
        <f t="shared" ca="1" si="15"/>
        <v>105</v>
      </c>
      <c r="I372" s="5" t="str">
        <f t="shared" ca="1" si="16"/>
        <v>Garansi</v>
      </c>
    </row>
    <row r="373" spans="1:9" x14ac:dyDescent="0.3">
      <c r="A373">
        <v>369</v>
      </c>
      <c r="B373" t="s">
        <v>373</v>
      </c>
      <c r="C373" t="s">
        <v>1451</v>
      </c>
      <c r="D373" s="1">
        <v>46046</v>
      </c>
      <c r="E373" t="s">
        <v>1650</v>
      </c>
      <c r="F373" s="5">
        <v>365</v>
      </c>
      <c r="G373" s="6">
        <f t="shared" ca="1" si="17"/>
        <v>46150</v>
      </c>
      <c r="H373" s="7">
        <f t="shared" ca="1" si="15"/>
        <v>104</v>
      </c>
      <c r="I373" s="5" t="str">
        <f t="shared" ca="1" si="16"/>
        <v>Garansi</v>
      </c>
    </row>
    <row r="374" spans="1:9" x14ac:dyDescent="0.3">
      <c r="A374">
        <v>370</v>
      </c>
      <c r="B374" t="s">
        <v>1652</v>
      </c>
      <c r="C374" t="s">
        <v>1653</v>
      </c>
      <c r="D374" s="1">
        <v>46057</v>
      </c>
      <c r="E374" t="s">
        <v>1501</v>
      </c>
      <c r="F374" s="5">
        <v>365</v>
      </c>
      <c r="G374" s="6">
        <f t="shared" ca="1" si="17"/>
        <v>46150</v>
      </c>
      <c r="H374" s="7">
        <f t="shared" ca="1" si="15"/>
        <v>93</v>
      </c>
      <c r="I374" s="5" t="str">
        <f t="shared" ca="1" si="16"/>
        <v>Garansi</v>
      </c>
    </row>
    <row r="375" spans="1:9" x14ac:dyDescent="0.3">
      <c r="A375">
        <v>371</v>
      </c>
      <c r="B375" t="s">
        <v>373</v>
      </c>
      <c r="C375" t="s">
        <v>1558</v>
      </c>
      <c r="D375" s="1">
        <v>46060</v>
      </c>
      <c r="E375" t="s">
        <v>1559</v>
      </c>
      <c r="F375" s="5">
        <v>365</v>
      </c>
      <c r="G375" s="6">
        <f t="shared" ca="1" si="17"/>
        <v>46150</v>
      </c>
      <c r="H375" s="7">
        <f t="shared" ca="1" si="15"/>
        <v>90</v>
      </c>
      <c r="I375" s="5" t="str">
        <f t="shared" ca="1" si="16"/>
        <v>Garansi</v>
      </c>
    </row>
    <row r="376" spans="1:9" x14ac:dyDescent="0.3">
      <c r="A376">
        <v>372</v>
      </c>
      <c r="B376" t="s">
        <v>389</v>
      </c>
      <c r="C376" t="s">
        <v>1658</v>
      </c>
      <c r="D376" s="1">
        <v>46060</v>
      </c>
      <c r="E376" t="s">
        <v>1657</v>
      </c>
      <c r="F376" s="5">
        <v>365</v>
      </c>
      <c r="G376" s="6">
        <f t="shared" ca="1" si="17"/>
        <v>46150</v>
      </c>
      <c r="H376" s="5">
        <f t="shared" ca="1" si="15"/>
        <v>90</v>
      </c>
      <c r="I376" s="5" t="str">
        <f t="shared" ca="1" si="16"/>
        <v>Garansi</v>
      </c>
    </row>
    <row r="377" spans="1:9" x14ac:dyDescent="0.3">
      <c r="A377">
        <v>373</v>
      </c>
      <c r="B377" t="s">
        <v>373</v>
      </c>
      <c r="C377" t="s">
        <v>1511</v>
      </c>
      <c r="D377" s="1">
        <v>46061</v>
      </c>
      <c r="E377" t="s">
        <v>1659</v>
      </c>
      <c r="F377" s="5">
        <v>365</v>
      </c>
      <c r="G377" s="6">
        <f t="shared" ca="1" si="17"/>
        <v>46150</v>
      </c>
      <c r="H377" s="5">
        <f t="shared" ca="1" si="15"/>
        <v>89</v>
      </c>
      <c r="I377" s="5" t="str">
        <f t="shared" ca="1" si="16"/>
        <v>Garansi</v>
      </c>
    </row>
    <row r="378" spans="1:9" x14ac:dyDescent="0.3">
      <c r="A378">
        <v>374</v>
      </c>
      <c r="B378" t="s">
        <v>373</v>
      </c>
      <c r="C378" t="s">
        <v>1378</v>
      </c>
      <c r="D378" s="1">
        <v>46065</v>
      </c>
      <c r="E378" t="s">
        <v>1379</v>
      </c>
      <c r="F378" s="5">
        <v>365</v>
      </c>
      <c r="G378" s="6">
        <f t="shared" ca="1" si="17"/>
        <v>46150</v>
      </c>
      <c r="H378" s="5">
        <f t="shared" ca="1" si="15"/>
        <v>85</v>
      </c>
      <c r="I378" s="5" t="str">
        <f t="shared" ca="1" si="16"/>
        <v>Garansi</v>
      </c>
    </row>
    <row r="379" spans="1:9" x14ac:dyDescent="0.3">
      <c r="A379">
        <v>375</v>
      </c>
      <c r="B379" t="s">
        <v>389</v>
      </c>
      <c r="C379" t="s">
        <v>1257</v>
      </c>
      <c r="D379" s="1">
        <v>46072</v>
      </c>
      <c r="E379" t="s">
        <v>1258</v>
      </c>
      <c r="F379" s="5">
        <v>365</v>
      </c>
      <c r="G379" s="6">
        <f t="shared" ca="1" si="17"/>
        <v>46150</v>
      </c>
      <c r="H379" s="5">
        <f t="shared" ca="1" si="15"/>
        <v>78</v>
      </c>
      <c r="I379" s="5" t="str">
        <f t="shared" ca="1" si="16"/>
        <v>Garansi</v>
      </c>
    </row>
    <row r="380" spans="1:9" x14ac:dyDescent="0.3">
      <c r="A380">
        <v>376</v>
      </c>
      <c r="B380" t="s">
        <v>389</v>
      </c>
      <c r="C380" t="s">
        <v>1411</v>
      </c>
      <c r="D380" s="1">
        <v>46072</v>
      </c>
      <c r="E380" t="s">
        <v>1412</v>
      </c>
      <c r="F380" s="5">
        <v>365</v>
      </c>
      <c r="G380" s="6">
        <f t="shared" ca="1" si="17"/>
        <v>46150</v>
      </c>
      <c r="H380" s="5">
        <f t="shared" ca="1" si="15"/>
        <v>78</v>
      </c>
      <c r="I380" s="5" t="str">
        <f t="shared" ca="1" si="16"/>
        <v>Garansi</v>
      </c>
    </row>
    <row r="381" spans="1:9" x14ac:dyDescent="0.3">
      <c r="A381">
        <v>377</v>
      </c>
      <c r="B381" t="s">
        <v>389</v>
      </c>
      <c r="C381" t="s">
        <v>1564</v>
      </c>
      <c r="D381" s="1">
        <v>46074</v>
      </c>
      <c r="E381" t="s">
        <v>1660</v>
      </c>
      <c r="F381" s="5">
        <v>365</v>
      </c>
      <c r="G381" s="6">
        <f t="shared" ca="1" si="17"/>
        <v>46150</v>
      </c>
      <c r="H381" s="5">
        <f t="shared" ca="1" si="15"/>
        <v>76</v>
      </c>
      <c r="I381" s="5" t="str">
        <f t="shared" ca="1" si="16"/>
        <v>Garansi</v>
      </c>
    </row>
    <row r="382" spans="1:9" x14ac:dyDescent="0.3">
      <c r="A382">
        <v>378</v>
      </c>
      <c r="B382" t="s">
        <v>373</v>
      </c>
      <c r="C382" t="s">
        <v>1490</v>
      </c>
      <c r="D382" s="1">
        <v>46084</v>
      </c>
      <c r="E382" t="s">
        <v>1661</v>
      </c>
      <c r="F382" s="5">
        <v>365</v>
      </c>
      <c r="G382" s="6">
        <f t="shared" ca="1" si="17"/>
        <v>46150</v>
      </c>
      <c r="H382" s="5">
        <f t="shared" ca="1" si="15"/>
        <v>66</v>
      </c>
      <c r="I382" s="5" t="str">
        <f t="shared" ca="1" si="16"/>
        <v>Garansi</v>
      </c>
    </row>
    <row r="383" spans="1:9" x14ac:dyDescent="0.3">
      <c r="A383">
        <v>379</v>
      </c>
      <c r="B383" t="s">
        <v>388</v>
      </c>
      <c r="C383" t="s">
        <v>1567</v>
      </c>
      <c r="D383" s="1">
        <v>46084</v>
      </c>
      <c r="E383" s="27" t="s">
        <v>1662</v>
      </c>
      <c r="F383" s="5">
        <v>365</v>
      </c>
      <c r="G383" s="6">
        <f t="shared" ca="1" si="17"/>
        <v>46150</v>
      </c>
      <c r="H383" s="5">
        <f t="shared" ca="1" si="15"/>
        <v>66</v>
      </c>
      <c r="I383" s="5" t="str">
        <f t="shared" ca="1" si="16"/>
        <v>Garansi</v>
      </c>
    </row>
    <row r="384" spans="1:9" x14ac:dyDescent="0.3">
      <c r="A384">
        <v>380</v>
      </c>
      <c r="B384" t="s">
        <v>388</v>
      </c>
      <c r="C384" t="s">
        <v>1664</v>
      </c>
      <c r="D384" s="1">
        <v>46085</v>
      </c>
      <c r="E384" t="s">
        <v>1663</v>
      </c>
      <c r="F384" s="5">
        <v>365</v>
      </c>
      <c r="G384" s="6">
        <f t="shared" ca="1" si="17"/>
        <v>46150</v>
      </c>
      <c r="H384" s="5">
        <f t="shared" ca="1" si="15"/>
        <v>65</v>
      </c>
      <c r="I384" s="5" t="str">
        <f t="shared" ca="1" si="16"/>
        <v>Garansi</v>
      </c>
    </row>
    <row r="385" spans="1:9" x14ac:dyDescent="0.3">
      <c r="A385">
        <v>381</v>
      </c>
      <c r="B385" t="s">
        <v>389</v>
      </c>
      <c r="C385" t="s">
        <v>1666</v>
      </c>
      <c r="D385" s="1">
        <v>46088</v>
      </c>
      <c r="E385" t="s">
        <v>1665</v>
      </c>
      <c r="F385" s="5">
        <v>365</v>
      </c>
      <c r="G385" s="6">
        <f t="shared" ca="1" si="17"/>
        <v>46150</v>
      </c>
      <c r="H385" s="5">
        <f t="shared" ca="1" si="15"/>
        <v>62</v>
      </c>
      <c r="I385" s="5" t="str">
        <f t="shared" ca="1" si="16"/>
        <v>Garansi</v>
      </c>
    </row>
    <row r="386" spans="1:9" x14ac:dyDescent="0.3">
      <c r="A386">
        <v>382</v>
      </c>
      <c r="B386" t="s">
        <v>1668</v>
      </c>
      <c r="C386" t="s">
        <v>1641</v>
      </c>
      <c r="D386" s="1">
        <v>46092</v>
      </c>
      <c r="E386" t="s">
        <v>1667</v>
      </c>
      <c r="F386" s="5">
        <v>365</v>
      </c>
      <c r="G386" s="6">
        <f t="shared" ca="1" si="17"/>
        <v>46150</v>
      </c>
      <c r="H386" s="5">
        <f t="shared" ca="1" si="15"/>
        <v>58</v>
      </c>
      <c r="I386" s="5" t="str">
        <f t="shared" ca="1" si="16"/>
        <v>Garansi</v>
      </c>
    </row>
    <row r="387" spans="1:9" x14ac:dyDescent="0.3">
      <c r="A387">
        <v>383</v>
      </c>
      <c r="B387" t="s">
        <v>388</v>
      </c>
      <c r="C387" t="s">
        <v>1520</v>
      </c>
      <c r="D387" s="1">
        <v>46095</v>
      </c>
      <c r="E387" t="s">
        <v>1521</v>
      </c>
      <c r="F387" s="5">
        <v>365</v>
      </c>
      <c r="G387" s="6">
        <f t="shared" ca="1" si="17"/>
        <v>46150</v>
      </c>
      <c r="H387" s="5">
        <f t="shared" ca="1" si="15"/>
        <v>55</v>
      </c>
      <c r="I387" s="5" t="str">
        <f t="shared" ref="I387:I393" ca="1" si="18">IF(H387&gt;F387,"Tidak","Garansi")</f>
        <v>Garansi</v>
      </c>
    </row>
    <row r="388" spans="1:9" x14ac:dyDescent="0.3">
      <c r="A388">
        <v>384</v>
      </c>
      <c r="B388" t="s">
        <v>389</v>
      </c>
      <c r="C388" t="s">
        <v>1669</v>
      </c>
      <c r="D388" s="1">
        <v>46097</v>
      </c>
      <c r="E388" t="s">
        <v>1670</v>
      </c>
      <c r="F388" s="5">
        <v>365</v>
      </c>
      <c r="G388" s="6">
        <f t="shared" ref="G388:G393" ca="1" si="19">TODAY()</f>
        <v>46150</v>
      </c>
      <c r="H388" s="5">
        <f t="shared" ca="1" si="15"/>
        <v>53</v>
      </c>
      <c r="I388" s="5" t="str">
        <f t="shared" ca="1" si="18"/>
        <v>Garansi</v>
      </c>
    </row>
    <row r="389" spans="1:9" x14ac:dyDescent="0.3">
      <c r="A389">
        <v>385</v>
      </c>
      <c r="B389" t="s">
        <v>389</v>
      </c>
      <c r="C389" t="s">
        <v>1671</v>
      </c>
      <c r="D389" s="1">
        <v>46099</v>
      </c>
      <c r="E389" t="s">
        <v>1672</v>
      </c>
      <c r="F389" s="5">
        <v>365</v>
      </c>
      <c r="G389" s="6">
        <f t="shared" ca="1" si="19"/>
        <v>46150</v>
      </c>
      <c r="H389" s="5">
        <f t="shared" ca="1" si="15"/>
        <v>51</v>
      </c>
      <c r="I389" s="5" t="str">
        <f t="shared" ca="1" si="18"/>
        <v>Garansi</v>
      </c>
    </row>
    <row r="390" spans="1:9" x14ac:dyDescent="0.3">
      <c r="A390">
        <v>386</v>
      </c>
      <c r="B390" t="s">
        <v>341</v>
      </c>
      <c r="C390" t="s">
        <v>1024</v>
      </c>
      <c r="D390" s="1">
        <v>46099</v>
      </c>
      <c r="E390" t="s">
        <v>1673</v>
      </c>
      <c r="F390" s="5">
        <v>365</v>
      </c>
      <c r="G390" s="6">
        <f t="shared" ca="1" si="19"/>
        <v>46150</v>
      </c>
      <c r="H390" s="5">
        <f t="shared" ca="1" si="15"/>
        <v>51</v>
      </c>
      <c r="I390" s="5" t="str">
        <f t="shared" ca="1" si="18"/>
        <v>Garansi</v>
      </c>
    </row>
    <row r="391" spans="1:9" x14ac:dyDescent="0.3">
      <c r="A391">
        <v>387</v>
      </c>
      <c r="B391" t="s">
        <v>341</v>
      </c>
      <c r="C391" t="s">
        <v>1024</v>
      </c>
      <c r="D391" s="1">
        <v>46106</v>
      </c>
      <c r="E391" t="s">
        <v>1674</v>
      </c>
      <c r="F391" s="5">
        <v>365</v>
      </c>
      <c r="G391" s="6">
        <f t="shared" ca="1" si="19"/>
        <v>46150</v>
      </c>
      <c r="H391" s="5">
        <f t="shared" ca="1" si="15"/>
        <v>44</v>
      </c>
      <c r="I391" s="5" t="str">
        <f t="shared" ca="1" si="18"/>
        <v>Garansi</v>
      </c>
    </row>
    <row r="392" spans="1:9" x14ac:dyDescent="0.3">
      <c r="A392">
        <v>388</v>
      </c>
      <c r="B392" t="s">
        <v>341</v>
      </c>
      <c r="C392" t="s">
        <v>1024</v>
      </c>
      <c r="D392" s="1">
        <v>46109</v>
      </c>
      <c r="E392" t="s">
        <v>1681</v>
      </c>
      <c r="F392" s="5">
        <v>365</v>
      </c>
      <c r="G392" s="6">
        <f t="shared" ca="1" si="19"/>
        <v>46150</v>
      </c>
      <c r="H392" s="5">
        <f t="shared" ca="1" si="15"/>
        <v>41</v>
      </c>
      <c r="I392" s="5" t="str">
        <f t="shared" ca="1" si="18"/>
        <v>Garansi</v>
      </c>
    </row>
    <row r="393" spans="1:9" x14ac:dyDescent="0.3">
      <c r="A393">
        <v>389</v>
      </c>
      <c r="B393" t="s">
        <v>389</v>
      </c>
      <c r="C393" t="s">
        <v>1683</v>
      </c>
      <c r="D393" s="1">
        <v>46120</v>
      </c>
      <c r="E393" t="s">
        <v>1684</v>
      </c>
      <c r="F393" s="5">
        <v>365</v>
      </c>
      <c r="G393" s="6">
        <f t="shared" ca="1" si="19"/>
        <v>46150</v>
      </c>
      <c r="H393" s="5">
        <f t="shared" ca="1" si="15"/>
        <v>30</v>
      </c>
      <c r="I393" s="5" t="str">
        <f t="shared" ca="1" si="18"/>
        <v>Garansi</v>
      </c>
    </row>
    <row r="394" spans="1:9" x14ac:dyDescent="0.3">
      <c r="A394">
        <v>390</v>
      </c>
      <c r="B394" t="s">
        <v>1692</v>
      </c>
      <c r="C394" t="s">
        <v>1691</v>
      </c>
      <c r="D394" s="1">
        <v>45817</v>
      </c>
      <c r="E394" t="s">
        <v>1690</v>
      </c>
    </row>
    <row r="395" spans="1:9" x14ac:dyDescent="0.3">
      <c r="A395">
        <v>391</v>
      </c>
      <c r="D395" s="1"/>
    </row>
    <row r="396" spans="1:9" x14ac:dyDescent="0.3">
      <c r="A396">
        <v>392</v>
      </c>
      <c r="D396" s="1"/>
    </row>
    <row r="397" spans="1:9" x14ac:dyDescent="0.3">
      <c r="A397">
        <v>393</v>
      </c>
      <c r="D397" s="1"/>
    </row>
    <row r="398" spans="1:9" x14ac:dyDescent="0.3">
      <c r="A398">
        <v>394</v>
      </c>
      <c r="D398" s="1"/>
    </row>
    <row r="399" spans="1:9" x14ac:dyDescent="0.3">
      <c r="A399">
        <v>395</v>
      </c>
      <c r="D399" s="1"/>
    </row>
    <row r="400" spans="1:9" x14ac:dyDescent="0.3">
      <c r="A400">
        <v>396</v>
      </c>
      <c r="D400" s="1"/>
    </row>
    <row r="401" spans="1:4" x14ac:dyDescent="0.3">
      <c r="A401">
        <v>397</v>
      </c>
      <c r="D401" s="1"/>
    </row>
    <row r="402" spans="1:4" x14ac:dyDescent="0.3">
      <c r="A402">
        <v>398</v>
      </c>
      <c r="D402" s="1"/>
    </row>
    <row r="403" spans="1:4" x14ac:dyDescent="0.3">
      <c r="A403">
        <v>399</v>
      </c>
      <c r="D403" s="1"/>
    </row>
    <row r="404" spans="1:4" x14ac:dyDescent="0.3">
      <c r="A404">
        <v>400</v>
      </c>
      <c r="D404" s="1"/>
    </row>
    <row r="405" spans="1:4" x14ac:dyDescent="0.3">
      <c r="A405">
        <v>401</v>
      </c>
      <c r="D405" s="1"/>
    </row>
    <row r="406" spans="1:4" x14ac:dyDescent="0.3">
      <c r="A406">
        <v>402</v>
      </c>
      <c r="D406" s="1"/>
    </row>
    <row r="407" spans="1:4" x14ac:dyDescent="0.3">
      <c r="D407" s="1"/>
    </row>
    <row r="408" spans="1:4" x14ac:dyDescent="0.3">
      <c r="D408" s="1"/>
    </row>
    <row r="409" spans="1:4" x14ac:dyDescent="0.3">
      <c r="D409" s="1"/>
    </row>
    <row r="410" spans="1:4" x14ac:dyDescent="0.3">
      <c r="D410" s="1"/>
    </row>
    <row r="411" spans="1:4" x14ac:dyDescent="0.3">
      <c r="D411" s="1"/>
    </row>
    <row r="412" spans="1:4" x14ac:dyDescent="0.3">
      <c r="D412" s="1"/>
    </row>
    <row r="413" spans="1:4" x14ac:dyDescent="0.3">
      <c r="D413" s="1"/>
    </row>
    <row r="414" spans="1:4" x14ac:dyDescent="0.3">
      <c r="D414" s="1"/>
    </row>
    <row r="415" spans="1:4" x14ac:dyDescent="0.3">
      <c r="D415" s="1"/>
    </row>
    <row r="416" spans="1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</sheetData>
  <autoFilter ref="A1:R323">
    <sortState ref="A2:R323">
      <sortCondition ref="D1:D323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00"/>
  </sheetPr>
  <dimension ref="A1:N374"/>
  <sheetViews>
    <sheetView topLeftCell="A295" workbookViewId="0">
      <selection activeCell="B357" sqref="B357:B365"/>
    </sheetView>
  </sheetViews>
  <sheetFormatPr defaultRowHeight="14.4" x14ac:dyDescent="0.3"/>
  <cols>
    <col min="1" max="1" width="4" style="5" bestFit="1" customWidth="1"/>
    <col min="2" max="2" width="52.109375" style="8" bestFit="1" customWidth="1"/>
    <col min="3" max="3" width="11.109375" style="8" customWidth="1"/>
    <col min="4" max="4" width="13.77734375" style="5" bestFit="1" customWidth="1"/>
    <col min="5" max="5" width="14.109375" style="5" bestFit="1" customWidth="1"/>
    <col min="6" max="6" width="8.109375" style="5" bestFit="1" customWidth="1"/>
    <col min="7" max="7" width="52.109375" style="8" bestFit="1" customWidth="1"/>
    <col min="8" max="8" width="14.109375" style="5" bestFit="1" customWidth="1"/>
    <col min="9" max="9" width="14.109375" style="5" customWidth="1"/>
    <col min="10" max="10" width="11.6640625" style="5" bestFit="1" customWidth="1"/>
    <col min="11" max="12" width="8.88671875" style="5"/>
    <col min="13" max="13" width="11.77734375" style="5" bestFit="1" customWidth="1"/>
    <col min="14" max="16384" width="8.88671875" style="5"/>
  </cols>
  <sheetData>
    <row r="1" spans="1:14" x14ac:dyDescent="0.3">
      <c r="A1" s="4" t="s">
        <v>0</v>
      </c>
      <c r="B1" s="13" t="s">
        <v>1</v>
      </c>
      <c r="C1" s="13"/>
      <c r="D1" s="4" t="s">
        <v>403</v>
      </c>
      <c r="E1" s="4" t="s">
        <v>392</v>
      </c>
      <c r="F1" s="4" t="s">
        <v>421</v>
      </c>
      <c r="G1" s="13" t="s">
        <v>1</v>
      </c>
      <c r="H1" s="4" t="s">
        <v>392</v>
      </c>
      <c r="I1" s="4" t="s">
        <v>401</v>
      </c>
      <c r="J1" s="4" t="s">
        <v>396</v>
      </c>
      <c r="K1" s="4" t="s">
        <v>397</v>
      </c>
      <c r="L1" s="4" t="s">
        <v>398</v>
      </c>
      <c r="M1" s="4" t="s">
        <v>399</v>
      </c>
      <c r="N1" s="4" t="s">
        <v>400</v>
      </c>
    </row>
    <row r="2" spans="1:14" x14ac:dyDescent="0.3">
      <c r="A2" s="5">
        <v>1</v>
      </c>
      <c r="B2" s="8" t="s">
        <v>23</v>
      </c>
      <c r="C2" s="8" t="s">
        <v>228</v>
      </c>
      <c r="D2" s="5">
        <v>2</v>
      </c>
      <c r="E2" s="5">
        <f t="shared" ref="E2:E65" si="0">SUMIF($G:$G,B2,$H:$H)</f>
        <v>0</v>
      </c>
      <c r="F2" s="5">
        <f>D2-E2</f>
        <v>2</v>
      </c>
      <c r="G2" s="8" t="s">
        <v>2</v>
      </c>
      <c r="H2" s="5">
        <v>1</v>
      </c>
      <c r="I2" s="5">
        <v>1</v>
      </c>
      <c r="J2" s="6">
        <v>45054</v>
      </c>
      <c r="K2" s="5" t="s">
        <v>408</v>
      </c>
      <c r="L2" s="5" t="s">
        <v>407</v>
      </c>
      <c r="M2" s="5" t="s">
        <v>409</v>
      </c>
    </row>
    <row r="3" spans="1:14" x14ac:dyDescent="0.3">
      <c r="A3" s="5">
        <v>2</v>
      </c>
      <c r="B3" s="8" t="s">
        <v>22</v>
      </c>
      <c r="C3" s="8" t="s">
        <v>227</v>
      </c>
      <c r="D3" s="5">
        <v>2</v>
      </c>
      <c r="E3" s="5">
        <f t="shared" si="0"/>
        <v>0</v>
      </c>
      <c r="F3" s="5">
        <f t="shared" ref="F3:F66" si="1">D3-E3</f>
        <v>2</v>
      </c>
      <c r="G3" s="8" t="s">
        <v>2</v>
      </c>
      <c r="H3" s="5">
        <v>1</v>
      </c>
      <c r="I3" s="5">
        <v>2</v>
      </c>
      <c r="J3" s="6">
        <v>45386</v>
      </c>
      <c r="K3" s="5" t="s">
        <v>410</v>
      </c>
      <c r="L3" s="5" t="s">
        <v>410</v>
      </c>
      <c r="M3" s="5" t="s">
        <v>410</v>
      </c>
    </row>
    <row r="4" spans="1:14" x14ac:dyDescent="0.3">
      <c r="A4" s="5">
        <v>3</v>
      </c>
      <c r="B4" s="8" t="s">
        <v>3</v>
      </c>
      <c r="C4" s="8" t="s">
        <v>208</v>
      </c>
      <c r="D4" s="5">
        <v>2</v>
      </c>
      <c r="E4" s="5">
        <f t="shared" si="0"/>
        <v>2</v>
      </c>
      <c r="F4" s="5">
        <f t="shared" si="1"/>
        <v>0</v>
      </c>
      <c r="G4" s="8" t="s">
        <v>3</v>
      </c>
      <c r="H4" s="5">
        <v>1</v>
      </c>
      <c r="I4" s="5">
        <v>1</v>
      </c>
      <c r="J4" s="6">
        <v>45142</v>
      </c>
    </row>
    <row r="5" spans="1:14" x14ac:dyDescent="0.3">
      <c r="A5" s="5">
        <v>4</v>
      </c>
      <c r="B5" s="8" t="s">
        <v>4</v>
      </c>
      <c r="C5" s="8" t="s">
        <v>209</v>
      </c>
      <c r="D5" s="5">
        <v>2</v>
      </c>
      <c r="E5" s="5">
        <f t="shared" si="0"/>
        <v>1</v>
      </c>
      <c r="F5" s="5">
        <f t="shared" si="1"/>
        <v>1</v>
      </c>
      <c r="G5" s="8" t="s">
        <v>3</v>
      </c>
      <c r="H5" s="5">
        <v>1</v>
      </c>
      <c r="I5" s="5">
        <v>2</v>
      </c>
      <c r="J5" s="6">
        <v>45255</v>
      </c>
    </row>
    <row r="6" spans="1:14" x14ac:dyDescent="0.3">
      <c r="A6" s="5">
        <v>5</v>
      </c>
      <c r="B6" s="8" t="s">
        <v>2</v>
      </c>
      <c r="C6" s="8" t="s">
        <v>207</v>
      </c>
      <c r="D6" s="5">
        <v>2</v>
      </c>
      <c r="E6" s="5">
        <f t="shared" si="0"/>
        <v>2</v>
      </c>
      <c r="F6" s="5">
        <f t="shared" si="1"/>
        <v>0</v>
      </c>
      <c r="G6" s="8" t="s">
        <v>4</v>
      </c>
      <c r="H6" s="5">
        <v>1</v>
      </c>
      <c r="I6" s="5">
        <v>1</v>
      </c>
      <c r="J6" s="6">
        <v>45176</v>
      </c>
    </row>
    <row r="7" spans="1:14" x14ac:dyDescent="0.3">
      <c r="A7" s="5">
        <v>6</v>
      </c>
      <c r="B7" s="8" t="s">
        <v>9</v>
      </c>
      <c r="C7" s="8" t="s">
        <v>214</v>
      </c>
      <c r="D7" s="5">
        <v>2</v>
      </c>
      <c r="E7" s="5">
        <f t="shared" si="0"/>
        <v>2</v>
      </c>
      <c r="F7" s="5">
        <f t="shared" si="1"/>
        <v>0</v>
      </c>
      <c r="G7" s="8" t="s">
        <v>601</v>
      </c>
      <c r="H7" s="5">
        <v>1</v>
      </c>
      <c r="I7" s="5">
        <v>1</v>
      </c>
      <c r="J7" s="6">
        <v>45003</v>
      </c>
    </row>
    <row r="8" spans="1:14" x14ac:dyDescent="0.3">
      <c r="A8" s="5">
        <v>7</v>
      </c>
      <c r="B8" s="8" t="s">
        <v>14</v>
      </c>
      <c r="C8" s="8" t="s">
        <v>219</v>
      </c>
      <c r="D8" s="5">
        <v>2</v>
      </c>
      <c r="E8" s="5">
        <f t="shared" si="0"/>
        <v>2</v>
      </c>
      <c r="F8" s="5">
        <f t="shared" si="1"/>
        <v>0</v>
      </c>
      <c r="G8" s="8" t="s">
        <v>601</v>
      </c>
      <c r="H8" s="5">
        <v>1</v>
      </c>
      <c r="I8" s="5">
        <v>2</v>
      </c>
      <c r="J8" s="6">
        <v>45097</v>
      </c>
    </row>
    <row r="9" spans="1:14" x14ac:dyDescent="0.3">
      <c r="A9" s="5">
        <v>8</v>
      </c>
      <c r="B9" s="8" t="s">
        <v>8</v>
      </c>
      <c r="C9" s="8" t="s">
        <v>213</v>
      </c>
      <c r="D9" s="5">
        <v>2</v>
      </c>
      <c r="E9" s="5">
        <f t="shared" si="0"/>
        <v>2</v>
      </c>
      <c r="F9" s="5">
        <f t="shared" si="1"/>
        <v>0</v>
      </c>
      <c r="G9" s="8" t="s">
        <v>602</v>
      </c>
      <c r="H9" s="5">
        <v>1</v>
      </c>
      <c r="I9" s="5">
        <v>1</v>
      </c>
      <c r="J9" s="6">
        <v>45097</v>
      </c>
    </row>
    <row r="10" spans="1:14" x14ac:dyDescent="0.3">
      <c r="A10" s="5">
        <v>9</v>
      </c>
      <c r="B10" s="8" t="s">
        <v>20</v>
      </c>
      <c r="C10" s="8" t="s">
        <v>225</v>
      </c>
      <c r="D10" s="5">
        <v>2</v>
      </c>
      <c r="E10" s="5">
        <f t="shared" si="0"/>
        <v>2</v>
      </c>
      <c r="F10" s="5">
        <f t="shared" si="1"/>
        <v>0</v>
      </c>
      <c r="G10" s="8" t="s">
        <v>425</v>
      </c>
      <c r="H10" s="5">
        <v>1</v>
      </c>
      <c r="I10" s="5">
        <v>1</v>
      </c>
      <c r="J10" s="6" t="s">
        <v>603</v>
      </c>
    </row>
    <row r="11" spans="1:14" x14ac:dyDescent="0.3">
      <c r="A11" s="5">
        <v>10</v>
      </c>
      <c r="B11" s="8" t="s">
        <v>17</v>
      </c>
      <c r="C11" s="8" t="s">
        <v>222</v>
      </c>
      <c r="D11" s="5">
        <v>2</v>
      </c>
      <c r="E11" s="5">
        <f t="shared" si="0"/>
        <v>0</v>
      </c>
      <c r="F11" s="5">
        <f t="shared" si="1"/>
        <v>2</v>
      </c>
      <c r="G11" s="8" t="s">
        <v>425</v>
      </c>
      <c r="H11" s="5">
        <v>1</v>
      </c>
      <c r="I11" s="5">
        <v>2</v>
      </c>
      <c r="J11" s="6">
        <v>45492</v>
      </c>
    </row>
    <row r="12" spans="1:14" x14ac:dyDescent="0.3">
      <c r="A12" s="5">
        <v>11</v>
      </c>
      <c r="B12" s="8" t="s">
        <v>21</v>
      </c>
      <c r="C12" s="8" t="s">
        <v>226</v>
      </c>
      <c r="D12" s="5">
        <v>2</v>
      </c>
      <c r="E12" s="5">
        <f t="shared" si="0"/>
        <v>0</v>
      </c>
      <c r="F12" s="5">
        <f t="shared" si="1"/>
        <v>2</v>
      </c>
      <c r="G12" s="8" t="s">
        <v>6</v>
      </c>
      <c r="H12" s="5">
        <v>1</v>
      </c>
      <c r="I12" s="5">
        <v>1</v>
      </c>
      <c r="J12" s="6">
        <v>45496</v>
      </c>
    </row>
    <row r="13" spans="1:14" x14ac:dyDescent="0.3">
      <c r="A13" s="5">
        <v>12</v>
      </c>
      <c r="B13" s="8" t="s">
        <v>11</v>
      </c>
      <c r="C13" s="8" t="s">
        <v>216</v>
      </c>
      <c r="D13" s="5">
        <v>2</v>
      </c>
      <c r="E13" s="5">
        <f t="shared" si="0"/>
        <v>2</v>
      </c>
      <c r="F13" s="5">
        <f t="shared" si="1"/>
        <v>0</v>
      </c>
      <c r="G13" s="8" t="s">
        <v>7</v>
      </c>
      <c r="H13" s="5">
        <v>1</v>
      </c>
      <c r="I13" s="5">
        <v>1</v>
      </c>
      <c r="J13" s="6">
        <v>44764</v>
      </c>
    </row>
    <row r="14" spans="1:14" x14ac:dyDescent="0.3">
      <c r="A14" s="5">
        <v>13</v>
      </c>
      <c r="B14" s="8" t="s">
        <v>19</v>
      </c>
      <c r="C14" s="8" t="s">
        <v>224</v>
      </c>
      <c r="D14" s="5">
        <v>2</v>
      </c>
      <c r="E14" s="5">
        <f t="shared" si="0"/>
        <v>2</v>
      </c>
      <c r="F14" s="5">
        <f t="shared" si="1"/>
        <v>0</v>
      </c>
      <c r="G14" s="8" t="s">
        <v>7</v>
      </c>
      <c r="H14" s="5">
        <v>1</v>
      </c>
      <c r="I14" s="5">
        <v>2</v>
      </c>
      <c r="J14" s="6">
        <v>45122</v>
      </c>
    </row>
    <row r="15" spans="1:14" x14ac:dyDescent="0.3">
      <c r="A15" s="5">
        <v>14</v>
      </c>
      <c r="B15" s="8" t="s">
        <v>601</v>
      </c>
      <c r="C15" s="8" t="s">
        <v>424</v>
      </c>
      <c r="D15" s="5">
        <v>2</v>
      </c>
      <c r="E15" s="5">
        <f t="shared" si="0"/>
        <v>2</v>
      </c>
      <c r="F15" s="5">
        <f t="shared" si="1"/>
        <v>0</v>
      </c>
      <c r="G15" s="8" t="s">
        <v>8</v>
      </c>
      <c r="H15" s="5">
        <v>1</v>
      </c>
      <c r="I15" s="5">
        <v>1</v>
      </c>
      <c r="J15" s="6" t="s">
        <v>604</v>
      </c>
    </row>
    <row r="16" spans="1:14" x14ac:dyDescent="0.3">
      <c r="A16" s="5">
        <v>15</v>
      </c>
      <c r="B16" s="8" t="s">
        <v>24</v>
      </c>
      <c r="C16" s="8" t="s">
        <v>229</v>
      </c>
      <c r="D16" s="5">
        <v>2</v>
      </c>
      <c r="E16" s="5">
        <f t="shared" si="0"/>
        <v>0</v>
      </c>
      <c r="F16" s="5">
        <f t="shared" si="1"/>
        <v>2</v>
      </c>
      <c r="G16" s="8" t="s">
        <v>8</v>
      </c>
      <c r="H16" s="5">
        <v>1</v>
      </c>
      <c r="I16" s="5">
        <v>2</v>
      </c>
      <c r="J16" s="6">
        <v>45267</v>
      </c>
    </row>
    <row r="17" spans="1:10" x14ac:dyDescent="0.3">
      <c r="A17" s="5">
        <v>16</v>
      </c>
      <c r="B17" s="8" t="s">
        <v>32</v>
      </c>
      <c r="C17" s="8" t="s">
        <v>236</v>
      </c>
      <c r="D17" s="5">
        <v>2</v>
      </c>
      <c r="E17" s="5">
        <f t="shared" si="0"/>
        <v>0</v>
      </c>
      <c r="F17" s="5">
        <f t="shared" si="1"/>
        <v>2</v>
      </c>
      <c r="G17" s="8" t="s">
        <v>9</v>
      </c>
      <c r="H17" s="5">
        <v>1</v>
      </c>
      <c r="I17" s="5">
        <v>1</v>
      </c>
      <c r="J17" s="6">
        <v>45210</v>
      </c>
    </row>
    <row r="18" spans="1:10" x14ac:dyDescent="0.3">
      <c r="A18" s="5">
        <v>17</v>
      </c>
      <c r="B18" s="8" t="s">
        <v>33</v>
      </c>
      <c r="C18" s="8" t="s">
        <v>237</v>
      </c>
      <c r="D18" s="5">
        <v>2</v>
      </c>
      <c r="E18" s="5">
        <f t="shared" si="0"/>
        <v>0</v>
      </c>
      <c r="F18" s="5">
        <f t="shared" si="1"/>
        <v>2</v>
      </c>
      <c r="G18" s="8" t="s">
        <v>9</v>
      </c>
      <c r="H18" s="5">
        <v>1</v>
      </c>
      <c r="I18" s="5">
        <v>2</v>
      </c>
      <c r="J18" s="6">
        <v>45405</v>
      </c>
    </row>
    <row r="19" spans="1:10" x14ac:dyDescent="0.3">
      <c r="A19" s="5">
        <v>18</v>
      </c>
      <c r="B19" s="8" t="s">
        <v>7</v>
      </c>
      <c r="C19" s="8" t="s">
        <v>212</v>
      </c>
      <c r="D19" s="5">
        <v>2</v>
      </c>
      <c r="E19" s="5">
        <f t="shared" si="0"/>
        <v>2</v>
      </c>
      <c r="F19" s="5">
        <f t="shared" si="1"/>
        <v>0</v>
      </c>
      <c r="G19" s="8" t="s">
        <v>10</v>
      </c>
      <c r="H19" s="5">
        <v>1</v>
      </c>
      <c r="I19" s="5">
        <v>1</v>
      </c>
      <c r="J19" s="6">
        <v>44957</v>
      </c>
    </row>
    <row r="20" spans="1:10" x14ac:dyDescent="0.3">
      <c r="A20" s="5">
        <v>19</v>
      </c>
      <c r="B20" s="8" t="s">
        <v>10</v>
      </c>
      <c r="C20" s="8" t="s">
        <v>215</v>
      </c>
      <c r="D20" s="5">
        <v>2</v>
      </c>
      <c r="E20" s="5">
        <f t="shared" si="0"/>
        <v>2</v>
      </c>
      <c r="F20" s="5">
        <f t="shared" si="1"/>
        <v>0</v>
      </c>
      <c r="G20" s="8" t="s">
        <v>10</v>
      </c>
      <c r="H20" s="5">
        <v>1</v>
      </c>
      <c r="I20" s="5">
        <v>2</v>
      </c>
      <c r="J20" s="6">
        <v>45303</v>
      </c>
    </row>
    <row r="21" spans="1:10" x14ac:dyDescent="0.3">
      <c r="A21" s="5">
        <v>20</v>
      </c>
      <c r="B21" s="8" t="s">
        <v>6</v>
      </c>
      <c r="C21" s="8" t="s">
        <v>211</v>
      </c>
      <c r="D21" s="5">
        <v>2</v>
      </c>
      <c r="E21" s="5">
        <f t="shared" si="0"/>
        <v>1</v>
      </c>
      <c r="F21" s="5">
        <f t="shared" si="1"/>
        <v>1</v>
      </c>
      <c r="G21" s="8" t="s">
        <v>11</v>
      </c>
      <c r="H21" s="5">
        <v>1</v>
      </c>
      <c r="I21" s="5">
        <v>1</v>
      </c>
      <c r="J21" s="6">
        <v>44945</v>
      </c>
    </row>
    <row r="22" spans="1:10" x14ac:dyDescent="0.3">
      <c r="A22" s="5">
        <v>21</v>
      </c>
      <c r="B22" s="8" t="s">
        <v>41</v>
      </c>
      <c r="C22" s="8" t="s">
        <v>244</v>
      </c>
      <c r="D22" s="5">
        <v>2</v>
      </c>
      <c r="E22" s="5">
        <f t="shared" si="0"/>
        <v>0</v>
      </c>
      <c r="F22" s="5">
        <f t="shared" si="1"/>
        <v>2</v>
      </c>
      <c r="G22" s="8" t="s">
        <v>11</v>
      </c>
      <c r="H22" s="5">
        <v>1</v>
      </c>
      <c r="I22" s="5">
        <v>2</v>
      </c>
      <c r="J22" s="6">
        <v>45523</v>
      </c>
    </row>
    <row r="23" spans="1:10" x14ac:dyDescent="0.3">
      <c r="A23" s="5">
        <v>22</v>
      </c>
      <c r="B23" s="8" t="s">
        <v>44</v>
      </c>
      <c r="C23" s="8" t="s">
        <v>247</v>
      </c>
      <c r="D23" s="5">
        <v>2</v>
      </c>
      <c r="E23" s="5">
        <f t="shared" si="0"/>
        <v>0</v>
      </c>
      <c r="F23" s="5">
        <f t="shared" si="1"/>
        <v>2</v>
      </c>
      <c r="G23" s="8" t="s">
        <v>12</v>
      </c>
      <c r="H23" s="5">
        <v>1</v>
      </c>
      <c r="I23" s="5">
        <v>1</v>
      </c>
      <c r="J23" s="6">
        <v>44985</v>
      </c>
    </row>
    <row r="24" spans="1:10" x14ac:dyDescent="0.3">
      <c r="A24" s="5">
        <v>23</v>
      </c>
      <c r="B24" s="8" t="s">
        <v>602</v>
      </c>
      <c r="C24" s="8" t="s">
        <v>424</v>
      </c>
      <c r="D24" s="5">
        <v>2</v>
      </c>
      <c r="E24" s="5">
        <f t="shared" si="0"/>
        <v>1</v>
      </c>
      <c r="F24" s="5">
        <f t="shared" si="1"/>
        <v>1</v>
      </c>
      <c r="G24" s="8" t="s">
        <v>12</v>
      </c>
      <c r="H24" s="5">
        <v>1</v>
      </c>
      <c r="I24" s="5">
        <v>2</v>
      </c>
      <c r="J24" s="6">
        <v>45275</v>
      </c>
    </row>
    <row r="25" spans="1:10" x14ac:dyDescent="0.3">
      <c r="A25" s="5">
        <v>24</v>
      </c>
      <c r="B25" s="8" t="s">
        <v>12</v>
      </c>
      <c r="C25" s="8" t="s">
        <v>217</v>
      </c>
      <c r="D25" s="5">
        <v>2</v>
      </c>
      <c r="E25" s="5">
        <f t="shared" si="0"/>
        <v>2</v>
      </c>
      <c r="F25" s="5">
        <f t="shared" si="1"/>
        <v>0</v>
      </c>
      <c r="G25" s="8" t="s">
        <v>13</v>
      </c>
      <c r="H25" s="5">
        <v>1</v>
      </c>
      <c r="I25" s="5">
        <v>1</v>
      </c>
      <c r="J25" s="6">
        <v>44939</v>
      </c>
    </row>
    <row r="26" spans="1:10" x14ac:dyDescent="0.3">
      <c r="A26" s="5">
        <v>25</v>
      </c>
      <c r="B26" s="8" t="s">
        <v>36</v>
      </c>
      <c r="C26" s="8" t="s">
        <v>240</v>
      </c>
      <c r="D26" s="5">
        <v>2</v>
      </c>
      <c r="E26" s="5">
        <f t="shared" si="0"/>
        <v>0</v>
      </c>
      <c r="F26" s="5">
        <f t="shared" si="1"/>
        <v>2</v>
      </c>
      <c r="G26" s="8" t="s">
        <v>13</v>
      </c>
      <c r="H26" s="5">
        <v>1</v>
      </c>
      <c r="I26" s="5">
        <v>2</v>
      </c>
      <c r="J26" s="6">
        <v>45397</v>
      </c>
    </row>
    <row r="27" spans="1:10" x14ac:dyDescent="0.3">
      <c r="A27" s="5">
        <v>26</v>
      </c>
      <c r="B27" s="8" t="s">
        <v>83</v>
      </c>
      <c r="C27" s="8">
        <v>192</v>
      </c>
      <c r="D27" s="5">
        <v>2</v>
      </c>
      <c r="E27" s="5">
        <f t="shared" si="0"/>
        <v>0</v>
      </c>
      <c r="F27" s="5">
        <f t="shared" si="1"/>
        <v>2</v>
      </c>
      <c r="G27" s="8" t="s">
        <v>14</v>
      </c>
      <c r="H27" s="5">
        <v>1</v>
      </c>
      <c r="I27" s="5">
        <v>1</v>
      </c>
      <c r="J27" s="6">
        <v>45153</v>
      </c>
    </row>
    <row r="28" spans="1:10" x14ac:dyDescent="0.3">
      <c r="A28" s="5">
        <v>27</v>
      </c>
      <c r="B28" s="8" t="s">
        <v>57</v>
      </c>
      <c r="C28" s="8" t="s">
        <v>259</v>
      </c>
      <c r="D28" s="5">
        <v>2</v>
      </c>
      <c r="E28" s="5">
        <f t="shared" si="0"/>
        <v>0</v>
      </c>
      <c r="F28" s="5">
        <f t="shared" si="1"/>
        <v>2</v>
      </c>
      <c r="G28" s="8" t="s">
        <v>14</v>
      </c>
      <c r="H28" s="5">
        <v>1</v>
      </c>
      <c r="I28" s="5">
        <v>2</v>
      </c>
      <c r="J28" s="6">
        <v>45499</v>
      </c>
    </row>
    <row r="29" spans="1:10" x14ac:dyDescent="0.3">
      <c r="A29" s="5">
        <v>28</v>
      </c>
      <c r="B29" s="8" t="s">
        <v>39</v>
      </c>
      <c r="C29" s="8" t="s">
        <v>242</v>
      </c>
      <c r="D29" s="5">
        <v>2</v>
      </c>
      <c r="E29" s="5">
        <f t="shared" si="0"/>
        <v>0</v>
      </c>
      <c r="F29" s="5">
        <f t="shared" si="1"/>
        <v>2</v>
      </c>
      <c r="G29" s="8" t="s">
        <v>15</v>
      </c>
      <c r="H29" s="5">
        <v>1</v>
      </c>
      <c r="I29" s="5">
        <v>1</v>
      </c>
      <c r="J29" s="6" t="s">
        <v>605</v>
      </c>
    </row>
    <row r="30" spans="1:10" x14ac:dyDescent="0.3">
      <c r="A30" s="5">
        <v>29</v>
      </c>
      <c r="B30" s="8" t="s">
        <v>49</v>
      </c>
      <c r="C30" s="8" t="s">
        <v>252</v>
      </c>
      <c r="D30" s="5">
        <v>2</v>
      </c>
      <c r="E30" s="5">
        <f t="shared" si="0"/>
        <v>0</v>
      </c>
      <c r="F30" s="5">
        <f t="shared" si="1"/>
        <v>2</v>
      </c>
      <c r="G30" s="8" t="s">
        <v>15</v>
      </c>
      <c r="H30" s="5">
        <v>1</v>
      </c>
      <c r="I30" s="5">
        <v>2</v>
      </c>
      <c r="J30" s="6">
        <v>45378</v>
      </c>
    </row>
    <row r="31" spans="1:10" x14ac:dyDescent="0.3">
      <c r="A31" s="5">
        <v>30</v>
      </c>
      <c r="B31" s="8" t="s">
        <v>45</v>
      </c>
      <c r="C31" s="8" t="s">
        <v>248</v>
      </c>
      <c r="D31" s="5">
        <v>2</v>
      </c>
      <c r="E31" s="5">
        <f t="shared" si="0"/>
        <v>0</v>
      </c>
      <c r="F31" s="5">
        <f t="shared" si="1"/>
        <v>2</v>
      </c>
      <c r="G31" s="8" t="s">
        <v>31</v>
      </c>
      <c r="H31" s="5">
        <v>1</v>
      </c>
      <c r="I31" s="5">
        <v>1</v>
      </c>
      <c r="J31" s="6">
        <v>45153</v>
      </c>
    </row>
    <row r="32" spans="1:10" x14ac:dyDescent="0.3">
      <c r="A32" s="5">
        <v>31</v>
      </c>
      <c r="B32" s="8" t="s">
        <v>18</v>
      </c>
      <c r="C32" s="8" t="s">
        <v>223</v>
      </c>
      <c r="D32" s="5">
        <v>2</v>
      </c>
      <c r="E32" s="5">
        <f t="shared" si="0"/>
        <v>0</v>
      </c>
      <c r="F32" s="5">
        <f t="shared" si="1"/>
        <v>2</v>
      </c>
      <c r="G32" s="8" t="s">
        <v>31</v>
      </c>
      <c r="H32" s="5">
        <v>1</v>
      </c>
      <c r="I32" s="5">
        <v>2</v>
      </c>
      <c r="J32" s="6">
        <v>45286</v>
      </c>
    </row>
    <row r="33" spans="1:10" x14ac:dyDescent="0.3">
      <c r="A33" s="5">
        <v>32</v>
      </c>
      <c r="B33" s="8" t="s">
        <v>43</v>
      </c>
      <c r="C33" s="8" t="s">
        <v>246</v>
      </c>
      <c r="D33" s="5">
        <v>2</v>
      </c>
      <c r="E33" s="5">
        <f t="shared" si="0"/>
        <v>0</v>
      </c>
      <c r="F33" s="5">
        <f t="shared" si="1"/>
        <v>2</v>
      </c>
      <c r="G33" s="8" t="s">
        <v>19</v>
      </c>
      <c r="H33" s="5">
        <v>1</v>
      </c>
      <c r="I33" s="5">
        <v>1</v>
      </c>
      <c r="J33" s="6">
        <v>44812</v>
      </c>
    </row>
    <row r="34" spans="1:10" x14ac:dyDescent="0.3">
      <c r="A34" s="5">
        <v>33</v>
      </c>
      <c r="B34" s="8" t="s">
        <v>80</v>
      </c>
      <c r="C34" s="8">
        <v>191</v>
      </c>
      <c r="D34" s="5">
        <v>2</v>
      </c>
      <c r="E34" s="5">
        <f t="shared" si="0"/>
        <v>0</v>
      </c>
      <c r="F34" s="5">
        <f t="shared" si="1"/>
        <v>2</v>
      </c>
      <c r="G34" s="8" t="s">
        <v>19</v>
      </c>
      <c r="H34" s="5">
        <v>1</v>
      </c>
      <c r="I34" s="5">
        <v>2</v>
      </c>
      <c r="J34" s="6">
        <v>45105</v>
      </c>
    </row>
    <row r="35" spans="1:10" x14ac:dyDescent="0.3">
      <c r="A35" s="5">
        <v>34</v>
      </c>
      <c r="B35" s="8" t="s">
        <v>35</v>
      </c>
      <c r="C35" s="8" t="s">
        <v>239</v>
      </c>
      <c r="D35" s="5">
        <v>2</v>
      </c>
      <c r="E35" s="5">
        <f t="shared" si="0"/>
        <v>0</v>
      </c>
      <c r="F35" s="5">
        <f t="shared" si="1"/>
        <v>2</v>
      </c>
      <c r="G35" s="8" t="s">
        <v>20</v>
      </c>
      <c r="H35" s="5">
        <v>1</v>
      </c>
      <c r="I35" s="5">
        <v>1</v>
      </c>
      <c r="J35" s="6">
        <v>44788</v>
      </c>
    </row>
    <row r="36" spans="1:10" x14ac:dyDescent="0.3">
      <c r="A36" s="5">
        <v>35</v>
      </c>
      <c r="B36" s="8" t="s">
        <v>30</v>
      </c>
      <c r="C36" s="8" t="s">
        <v>235</v>
      </c>
      <c r="D36" s="5">
        <v>2</v>
      </c>
      <c r="E36" s="5">
        <f t="shared" si="0"/>
        <v>0</v>
      </c>
      <c r="F36" s="5">
        <f t="shared" si="1"/>
        <v>2</v>
      </c>
      <c r="G36" s="8" t="s">
        <v>20</v>
      </c>
      <c r="H36" s="5">
        <v>1</v>
      </c>
      <c r="I36" s="5">
        <v>2</v>
      </c>
      <c r="J36" s="6">
        <v>44929</v>
      </c>
    </row>
    <row r="37" spans="1:10" x14ac:dyDescent="0.3">
      <c r="A37" s="5">
        <v>36</v>
      </c>
      <c r="B37" s="8" t="s">
        <v>62</v>
      </c>
      <c r="C37" s="8">
        <v>188</v>
      </c>
      <c r="D37" s="5">
        <v>2</v>
      </c>
      <c r="E37" s="5">
        <f t="shared" si="0"/>
        <v>0</v>
      </c>
      <c r="F37" s="5">
        <f t="shared" si="1"/>
        <v>2</v>
      </c>
      <c r="J37" s="6"/>
    </row>
    <row r="38" spans="1:10" x14ac:dyDescent="0.3">
      <c r="A38" s="5">
        <v>37</v>
      </c>
      <c r="B38" s="8" t="s">
        <v>54</v>
      </c>
      <c r="C38" s="8" t="s">
        <v>257</v>
      </c>
      <c r="D38" s="5">
        <v>2</v>
      </c>
      <c r="E38" s="5">
        <f t="shared" si="0"/>
        <v>0</v>
      </c>
      <c r="F38" s="5">
        <f t="shared" si="1"/>
        <v>2</v>
      </c>
      <c r="J38" s="6"/>
    </row>
    <row r="39" spans="1:10" x14ac:dyDescent="0.3">
      <c r="A39" s="5">
        <v>38</v>
      </c>
      <c r="B39" s="8" t="s">
        <v>29</v>
      </c>
      <c r="C39" s="8" t="s">
        <v>234</v>
      </c>
      <c r="D39" s="5">
        <v>2</v>
      </c>
      <c r="E39" s="5">
        <f t="shared" si="0"/>
        <v>0</v>
      </c>
      <c r="F39" s="5">
        <f t="shared" si="1"/>
        <v>2</v>
      </c>
      <c r="J39" s="6"/>
    </row>
    <row r="40" spans="1:10" x14ac:dyDescent="0.3">
      <c r="A40" s="5">
        <v>39</v>
      </c>
      <c r="B40" s="8" t="s">
        <v>60</v>
      </c>
      <c r="C40" s="8" t="s">
        <v>262</v>
      </c>
      <c r="D40" s="5">
        <v>2</v>
      </c>
      <c r="E40" s="5">
        <f t="shared" si="0"/>
        <v>0</v>
      </c>
      <c r="F40" s="5">
        <f t="shared" si="1"/>
        <v>2</v>
      </c>
      <c r="J40" s="6"/>
    </row>
    <row r="41" spans="1:10" x14ac:dyDescent="0.3">
      <c r="A41" s="5">
        <v>40</v>
      </c>
      <c r="B41" s="8" t="s">
        <v>31</v>
      </c>
      <c r="C41" s="8" t="s">
        <v>221</v>
      </c>
      <c r="D41" s="5">
        <v>2</v>
      </c>
      <c r="E41" s="5">
        <f t="shared" si="0"/>
        <v>2</v>
      </c>
      <c r="F41" s="5">
        <f t="shared" si="1"/>
        <v>0</v>
      </c>
      <c r="J41" s="6"/>
    </row>
    <row r="42" spans="1:10" x14ac:dyDescent="0.3">
      <c r="A42" s="5">
        <v>41</v>
      </c>
      <c r="B42" s="8" t="s">
        <v>37</v>
      </c>
      <c r="C42" s="8" t="s">
        <v>241</v>
      </c>
      <c r="D42" s="5">
        <v>2</v>
      </c>
      <c r="E42" s="5">
        <f t="shared" si="0"/>
        <v>0</v>
      </c>
      <c r="F42" s="5">
        <f t="shared" si="1"/>
        <v>2</v>
      </c>
      <c r="J42" s="6"/>
    </row>
    <row r="43" spans="1:10" x14ac:dyDescent="0.3">
      <c r="A43" s="5">
        <v>42</v>
      </c>
      <c r="B43" s="8" t="s">
        <v>67</v>
      </c>
      <c r="C43" s="8" t="s">
        <v>270</v>
      </c>
      <c r="D43" s="5">
        <v>2</v>
      </c>
      <c r="E43" s="5">
        <f t="shared" si="0"/>
        <v>0</v>
      </c>
      <c r="F43" s="5">
        <f t="shared" si="1"/>
        <v>2</v>
      </c>
      <c r="J43" s="6"/>
    </row>
    <row r="44" spans="1:10" x14ac:dyDescent="0.3">
      <c r="A44" s="5">
        <v>43</v>
      </c>
      <c r="B44" s="8" t="s">
        <v>25</v>
      </c>
      <c r="C44" s="8" t="s">
        <v>230</v>
      </c>
      <c r="D44" s="5">
        <v>2</v>
      </c>
      <c r="E44" s="5">
        <f t="shared" si="0"/>
        <v>0</v>
      </c>
      <c r="F44" s="5">
        <f t="shared" si="1"/>
        <v>2</v>
      </c>
      <c r="J44" s="6"/>
    </row>
    <row r="45" spans="1:10" x14ac:dyDescent="0.3">
      <c r="A45" s="5">
        <v>44</v>
      </c>
      <c r="B45" s="8" t="s">
        <v>16</v>
      </c>
      <c r="C45" s="8" t="s">
        <v>221</v>
      </c>
      <c r="D45" s="5">
        <v>2</v>
      </c>
      <c r="E45" s="5">
        <f t="shared" si="0"/>
        <v>0</v>
      </c>
      <c r="F45" s="5">
        <f t="shared" si="1"/>
        <v>2</v>
      </c>
      <c r="J45" s="6"/>
    </row>
    <row r="46" spans="1:10" x14ac:dyDescent="0.3">
      <c r="A46" s="5">
        <v>45</v>
      </c>
      <c r="B46" s="8" t="s">
        <v>59</v>
      </c>
      <c r="C46" s="8" t="s">
        <v>261</v>
      </c>
      <c r="D46" s="5">
        <v>2</v>
      </c>
      <c r="E46" s="5">
        <f t="shared" si="0"/>
        <v>0</v>
      </c>
      <c r="F46" s="5">
        <f t="shared" si="1"/>
        <v>2</v>
      </c>
      <c r="J46" s="6"/>
    </row>
    <row r="47" spans="1:10" x14ac:dyDescent="0.3">
      <c r="A47" s="5">
        <v>46</v>
      </c>
      <c r="B47" s="8" t="s">
        <v>47</v>
      </c>
      <c r="C47" s="8" t="s">
        <v>250</v>
      </c>
      <c r="D47" s="5">
        <v>2</v>
      </c>
      <c r="E47" s="5">
        <f t="shared" si="0"/>
        <v>0</v>
      </c>
      <c r="F47" s="5">
        <f t="shared" si="1"/>
        <v>2</v>
      </c>
      <c r="J47" s="6"/>
    </row>
    <row r="48" spans="1:10" x14ac:dyDescent="0.3">
      <c r="A48" s="5">
        <v>47</v>
      </c>
      <c r="B48" s="8" t="s">
        <v>53</v>
      </c>
      <c r="C48" s="8" t="s">
        <v>256</v>
      </c>
      <c r="D48" s="5">
        <v>2</v>
      </c>
      <c r="E48" s="5">
        <f t="shared" si="0"/>
        <v>0</v>
      </c>
      <c r="F48" s="5">
        <f t="shared" si="1"/>
        <v>2</v>
      </c>
      <c r="J48" s="6"/>
    </row>
    <row r="49" spans="1:10" x14ac:dyDescent="0.3">
      <c r="A49" s="5">
        <v>48</v>
      </c>
      <c r="B49" s="8" t="s">
        <v>61</v>
      </c>
      <c r="C49" s="8" t="s">
        <v>263</v>
      </c>
      <c r="D49" s="5">
        <v>2</v>
      </c>
      <c r="E49" s="5">
        <f t="shared" si="0"/>
        <v>0</v>
      </c>
      <c r="F49" s="5">
        <f t="shared" si="1"/>
        <v>2</v>
      </c>
      <c r="J49" s="6"/>
    </row>
    <row r="50" spans="1:10" x14ac:dyDescent="0.3">
      <c r="A50" s="5">
        <v>49</v>
      </c>
      <c r="B50" s="8" t="s">
        <v>13</v>
      </c>
      <c r="C50" s="8" t="s">
        <v>218</v>
      </c>
      <c r="D50" s="5">
        <v>2</v>
      </c>
      <c r="E50" s="5">
        <f t="shared" si="0"/>
        <v>2</v>
      </c>
      <c r="F50" s="5">
        <f t="shared" si="1"/>
        <v>0</v>
      </c>
      <c r="J50" s="6"/>
    </row>
    <row r="51" spans="1:10" x14ac:dyDescent="0.3">
      <c r="A51" s="5">
        <v>50</v>
      </c>
      <c r="B51" s="8" t="s">
        <v>68</v>
      </c>
      <c r="C51" s="8" t="s">
        <v>271</v>
      </c>
      <c r="D51" s="5">
        <v>2</v>
      </c>
      <c r="E51" s="5">
        <f t="shared" si="0"/>
        <v>0</v>
      </c>
      <c r="F51" s="5">
        <f t="shared" si="1"/>
        <v>2</v>
      </c>
      <c r="J51" s="6"/>
    </row>
    <row r="52" spans="1:10" x14ac:dyDescent="0.3">
      <c r="A52" s="5">
        <v>51</v>
      </c>
      <c r="B52" s="8" t="s">
        <v>65</v>
      </c>
      <c r="C52" s="8" t="s">
        <v>268</v>
      </c>
      <c r="D52" s="5">
        <v>2</v>
      </c>
      <c r="E52" s="5">
        <f t="shared" si="0"/>
        <v>0</v>
      </c>
      <c r="F52" s="5">
        <f t="shared" si="1"/>
        <v>2</v>
      </c>
      <c r="J52" s="6"/>
    </row>
    <row r="53" spans="1:10" x14ac:dyDescent="0.3">
      <c r="A53" s="5">
        <v>52</v>
      </c>
      <c r="B53" s="8" t="s">
        <v>81</v>
      </c>
      <c r="C53" s="8" t="s">
        <v>281</v>
      </c>
      <c r="D53" s="5">
        <v>2</v>
      </c>
      <c r="E53" s="5">
        <f t="shared" si="0"/>
        <v>0</v>
      </c>
      <c r="F53" s="5">
        <f t="shared" si="1"/>
        <v>2</v>
      </c>
      <c r="J53" s="6"/>
    </row>
    <row r="54" spans="1:10" x14ac:dyDescent="0.3">
      <c r="A54" s="5">
        <v>53</v>
      </c>
      <c r="B54" s="8" t="s">
        <v>72</v>
      </c>
      <c r="C54" s="8" t="s">
        <v>274</v>
      </c>
      <c r="D54" s="5">
        <v>2</v>
      </c>
      <c r="E54" s="5">
        <f t="shared" si="0"/>
        <v>0</v>
      </c>
      <c r="F54" s="5">
        <f t="shared" si="1"/>
        <v>2</v>
      </c>
      <c r="J54" s="6"/>
    </row>
    <row r="55" spans="1:10" x14ac:dyDescent="0.3">
      <c r="A55" s="5">
        <v>54</v>
      </c>
      <c r="B55" s="8" t="s">
        <v>74</v>
      </c>
      <c r="C55" s="8" t="s">
        <v>276</v>
      </c>
      <c r="D55" s="5">
        <v>2</v>
      </c>
      <c r="E55" s="5">
        <f t="shared" si="0"/>
        <v>0</v>
      </c>
      <c r="F55" s="5">
        <f t="shared" si="1"/>
        <v>2</v>
      </c>
      <c r="J55" s="6"/>
    </row>
    <row r="56" spans="1:10" x14ac:dyDescent="0.3">
      <c r="A56" s="5">
        <v>55</v>
      </c>
      <c r="B56" s="8" t="s">
        <v>58</v>
      </c>
      <c r="C56" s="8" t="s">
        <v>260</v>
      </c>
      <c r="D56" s="5">
        <v>2</v>
      </c>
      <c r="E56" s="5">
        <f t="shared" si="0"/>
        <v>0</v>
      </c>
      <c r="F56" s="5">
        <f t="shared" si="1"/>
        <v>2</v>
      </c>
      <c r="J56" s="6"/>
    </row>
    <row r="57" spans="1:10" x14ac:dyDescent="0.3">
      <c r="A57" s="5">
        <v>56</v>
      </c>
      <c r="B57" s="8" t="s">
        <v>64</v>
      </c>
      <c r="C57" s="8" t="s">
        <v>266</v>
      </c>
      <c r="D57" s="5">
        <v>2</v>
      </c>
      <c r="E57" s="5">
        <f t="shared" si="0"/>
        <v>0</v>
      </c>
      <c r="F57" s="5">
        <f t="shared" si="1"/>
        <v>2</v>
      </c>
      <c r="J57" s="6"/>
    </row>
    <row r="58" spans="1:10" x14ac:dyDescent="0.3">
      <c r="A58" s="5">
        <v>57</v>
      </c>
      <c r="B58" s="8" t="s">
        <v>27</v>
      </c>
      <c r="C58" s="8" t="s">
        <v>232</v>
      </c>
      <c r="D58" s="5">
        <v>2</v>
      </c>
      <c r="E58" s="5">
        <f t="shared" si="0"/>
        <v>0</v>
      </c>
      <c r="F58" s="5">
        <f t="shared" si="1"/>
        <v>2</v>
      </c>
      <c r="J58" s="6"/>
    </row>
    <row r="59" spans="1:10" x14ac:dyDescent="0.3">
      <c r="A59" s="5">
        <v>58</v>
      </c>
      <c r="B59" s="8" t="s">
        <v>34</v>
      </c>
      <c r="C59" s="8" t="s">
        <v>238</v>
      </c>
      <c r="D59" s="5">
        <v>2</v>
      </c>
      <c r="E59" s="5">
        <f t="shared" si="0"/>
        <v>0</v>
      </c>
      <c r="F59" s="5">
        <f t="shared" si="1"/>
        <v>2</v>
      </c>
      <c r="J59" s="6"/>
    </row>
    <row r="60" spans="1:10" x14ac:dyDescent="0.3">
      <c r="A60" s="5">
        <v>59</v>
      </c>
      <c r="B60" s="8" t="s">
        <v>71</v>
      </c>
      <c r="C60" s="8">
        <v>190</v>
      </c>
      <c r="D60" s="5">
        <v>2</v>
      </c>
      <c r="E60" s="5">
        <f t="shared" si="0"/>
        <v>0</v>
      </c>
      <c r="F60" s="5">
        <f t="shared" si="1"/>
        <v>2</v>
      </c>
      <c r="J60" s="6"/>
    </row>
    <row r="61" spans="1:10" x14ac:dyDescent="0.3">
      <c r="A61" s="5">
        <v>60</v>
      </c>
      <c r="B61" s="8" t="s">
        <v>425</v>
      </c>
      <c r="C61" s="8" t="s">
        <v>207</v>
      </c>
      <c r="D61" s="5">
        <v>2</v>
      </c>
      <c r="E61" s="5">
        <f t="shared" si="0"/>
        <v>2</v>
      </c>
      <c r="F61" s="5">
        <f t="shared" si="1"/>
        <v>0</v>
      </c>
      <c r="J61" s="6"/>
    </row>
    <row r="62" spans="1:10" x14ac:dyDescent="0.3">
      <c r="A62" s="5">
        <v>61</v>
      </c>
      <c r="B62" s="8" t="s">
        <v>82</v>
      </c>
      <c r="C62" s="8" t="s">
        <v>282</v>
      </c>
      <c r="D62" s="5">
        <v>2</v>
      </c>
      <c r="E62" s="5">
        <f t="shared" si="0"/>
        <v>0</v>
      </c>
      <c r="F62" s="5">
        <f t="shared" si="1"/>
        <v>2</v>
      </c>
      <c r="J62" s="6"/>
    </row>
    <row r="63" spans="1:10" x14ac:dyDescent="0.3">
      <c r="A63" s="5">
        <v>62</v>
      </c>
      <c r="B63" s="8" t="s">
        <v>84</v>
      </c>
      <c r="C63" s="8" t="s">
        <v>283</v>
      </c>
      <c r="D63" s="5">
        <v>2</v>
      </c>
      <c r="E63" s="5">
        <f t="shared" si="0"/>
        <v>0</v>
      </c>
      <c r="F63" s="5">
        <f t="shared" si="1"/>
        <v>2</v>
      </c>
      <c r="J63" s="6"/>
    </row>
    <row r="64" spans="1:10" x14ac:dyDescent="0.3">
      <c r="A64" s="5">
        <v>63</v>
      </c>
      <c r="B64" s="8" t="s">
        <v>38</v>
      </c>
      <c r="C64" s="8">
        <v>189</v>
      </c>
      <c r="D64" s="5">
        <v>2</v>
      </c>
      <c r="E64" s="5">
        <f t="shared" si="0"/>
        <v>0</v>
      </c>
      <c r="F64" s="5">
        <f t="shared" si="1"/>
        <v>2</v>
      </c>
      <c r="J64" s="6"/>
    </row>
    <row r="65" spans="1:10" x14ac:dyDescent="0.3">
      <c r="A65" s="5">
        <v>64</v>
      </c>
      <c r="B65" s="8" t="s">
        <v>90</v>
      </c>
      <c r="C65" s="8" t="s">
        <v>289</v>
      </c>
      <c r="D65" s="5">
        <v>2</v>
      </c>
      <c r="E65" s="5">
        <f t="shared" si="0"/>
        <v>0</v>
      </c>
      <c r="F65" s="5">
        <f t="shared" si="1"/>
        <v>2</v>
      </c>
      <c r="J65" s="6"/>
    </row>
    <row r="66" spans="1:10" x14ac:dyDescent="0.3">
      <c r="A66" s="5">
        <v>65</v>
      </c>
      <c r="B66" s="8" t="s">
        <v>28</v>
      </c>
      <c r="C66" s="8" t="s">
        <v>233</v>
      </c>
      <c r="D66" s="5">
        <v>2</v>
      </c>
      <c r="E66" s="5">
        <f t="shared" ref="E66:E129" si="2">SUMIF($G:$G,B66,$H:$H)</f>
        <v>0</v>
      </c>
      <c r="F66" s="5">
        <f t="shared" si="1"/>
        <v>2</v>
      </c>
      <c r="J66" s="6"/>
    </row>
    <row r="67" spans="1:10" x14ac:dyDescent="0.3">
      <c r="A67" s="5">
        <v>66</v>
      </c>
      <c r="B67" s="8" t="s">
        <v>70</v>
      </c>
      <c r="C67" s="8" t="s">
        <v>273</v>
      </c>
      <c r="D67" s="5">
        <v>2</v>
      </c>
      <c r="E67" s="5">
        <f t="shared" si="2"/>
        <v>0</v>
      </c>
      <c r="F67" s="5">
        <f t="shared" ref="F67:F130" si="3">D67-E67</f>
        <v>2</v>
      </c>
      <c r="J67" s="6"/>
    </row>
    <row r="68" spans="1:10" x14ac:dyDescent="0.3">
      <c r="A68" s="5">
        <v>67</v>
      </c>
      <c r="B68" s="8" t="s">
        <v>88</v>
      </c>
      <c r="C68" s="8" t="s">
        <v>287</v>
      </c>
      <c r="D68" s="5">
        <v>2</v>
      </c>
      <c r="E68" s="5">
        <f t="shared" si="2"/>
        <v>0</v>
      </c>
      <c r="F68" s="5">
        <f t="shared" si="3"/>
        <v>2</v>
      </c>
      <c r="J68" s="6"/>
    </row>
    <row r="69" spans="1:10" x14ac:dyDescent="0.3">
      <c r="A69" s="5">
        <v>68</v>
      </c>
      <c r="B69" s="8" t="s">
        <v>50</v>
      </c>
      <c r="C69" s="8" t="s">
        <v>253</v>
      </c>
      <c r="D69" s="5">
        <v>2</v>
      </c>
      <c r="E69" s="5">
        <f t="shared" si="2"/>
        <v>0</v>
      </c>
      <c r="F69" s="5">
        <f t="shared" si="3"/>
        <v>2</v>
      </c>
      <c r="J69" s="6"/>
    </row>
    <row r="70" spans="1:10" x14ac:dyDescent="0.3">
      <c r="A70" s="5">
        <v>69</v>
      </c>
      <c r="B70" s="8" t="s">
        <v>91</v>
      </c>
      <c r="C70" s="8" t="s">
        <v>290</v>
      </c>
      <c r="D70" s="5">
        <v>2</v>
      </c>
      <c r="E70" s="5">
        <f t="shared" si="2"/>
        <v>0</v>
      </c>
      <c r="F70" s="5">
        <f t="shared" si="3"/>
        <v>2</v>
      </c>
      <c r="J70" s="6"/>
    </row>
    <row r="71" spans="1:10" x14ac:dyDescent="0.3">
      <c r="A71" s="5">
        <v>70</v>
      </c>
      <c r="B71" s="8" t="s">
        <v>15</v>
      </c>
      <c r="C71" s="8" t="s">
        <v>220</v>
      </c>
      <c r="D71" s="5">
        <v>2</v>
      </c>
      <c r="E71" s="5">
        <f t="shared" si="2"/>
        <v>2</v>
      </c>
      <c r="F71" s="5">
        <f t="shared" si="3"/>
        <v>0</v>
      </c>
      <c r="J71" s="6"/>
    </row>
    <row r="72" spans="1:10" x14ac:dyDescent="0.3">
      <c r="A72" s="5">
        <v>71</v>
      </c>
      <c r="B72" s="8" t="s">
        <v>62</v>
      </c>
      <c r="C72" s="8">
        <v>188</v>
      </c>
      <c r="D72" s="5">
        <v>2</v>
      </c>
      <c r="E72" s="5">
        <f t="shared" si="2"/>
        <v>0</v>
      </c>
      <c r="F72" s="5">
        <f t="shared" si="3"/>
        <v>2</v>
      </c>
      <c r="J72" s="6"/>
    </row>
    <row r="73" spans="1:10" x14ac:dyDescent="0.3">
      <c r="A73" s="5">
        <v>72</v>
      </c>
      <c r="B73" s="8" t="s">
        <v>86</v>
      </c>
      <c r="C73" s="8" t="s">
        <v>285</v>
      </c>
      <c r="D73" s="5">
        <v>2</v>
      </c>
      <c r="E73" s="5">
        <f t="shared" si="2"/>
        <v>0</v>
      </c>
      <c r="F73" s="5">
        <f t="shared" si="3"/>
        <v>2</v>
      </c>
      <c r="J73" s="6"/>
    </row>
    <row r="74" spans="1:10" x14ac:dyDescent="0.3">
      <c r="A74" s="5">
        <v>73</v>
      </c>
      <c r="B74" s="8" t="s">
        <v>95</v>
      </c>
      <c r="C74" s="8" t="s">
        <v>295</v>
      </c>
      <c r="D74" s="5">
        <v>2</v>
      </c>
      <c r="E74" s="5">
        <f t="shared" si="2"/>
        <v>0</v>
      </c>
      <c r="F74" s="5">
        <f t="shared" si="3"/>
        <v>2</v>
      </c>
      <c r="J74" s="6"/>
    </row>
    <row r="75" spans="1:10" x14ac:dyDescent="0.3">
      <c r="A75" s="5">
        <v>74</v>
      </c>
      <c r="B75" s="8" t="s">
        <v>26</v>
      </c>
      <c r="C75" s="8" t="s">
        <v>231</v>
      </c>
      <c r="D75" s="5">
        <v>2</v>
      </c>
      <c r="E75" s="5">
        <f t="shared" si="2"/>
        <v>0</v>
      </c>
      <c r="F75" s="5">
        <f t="shared" si="3"/>
        <v>2</v>
      </c>
      <c r="J75" s="6"/>
    </row>
    <row r="76" spans="1:10" x14ac:dyDescent="0.3">
      <c r="A76" s="5">
        <v>75</v>
      </c>
      <c r="B76" s="8" t="s">
        <v>76</v>
      </c>
      <c r="C76" s="8" t="s">
        <v>278</v>
      </c>
      <c r="D76" s="5">
        <v>2</v>
      </c>
      <c r="E76" s="5">
        <f t="shared" si="2"/>
        <v>0</v>
      </c>
      <c r="F76" s="5">
        <f t="shared" si="3"/>
        <v>2</v>
      </c>
      <c r="J76" s="6"/>
    </row>
    <row r="77" spans="1:10" x14ac:dyDescent="0.3">
      <c r="A77" s="5">
        <v>76</v>
      </c>
      <c r="B77" s="8" t="s">
        <v>48</v>
      </c>
      <c r="C77" s="8" t="s">
        <v>251</v>
      </c>
      <c r="D77" s="5">
        <v>2</v>
      </c>
      <c r="E77" s="5">
        <f t="shared" si="2"/>
        <v>0</v>
      </c>
      <c r="F77" s="5">
        <f t="shared" si="3"/>
        <v>2</v>
      </c>
      <c r="J77" s="6"/>
    </row>
    <row r="78" spans="1:10" x14ac:dyDescent="0.3">
      <c r="A78" s="5">
        <v>77</v>
      </c>
      <c r="B78" s="8" t="s">
        <v>69</v>
      </c>
      <c r="C78" s="8" t="s">
        <v>272</v>
      </c>
      <c r="D78" s="5">
        <v>2</v>
      </c>
      <c r="E78" s="5">
        <f t="shared" si="2"/>
        <v>0</v>
      </c>
      <c r="F78" s="5">
        <f t="shared" si="3"/>
        <v>2</v>
      </c>
      <c r="J78" s="6"/>
    </row>
    <row r="79" spans="1:10" x14ac:dyDescent="0.3">
      <c r="A79" s="5">
        <v>78</v>
      </c>
      <c r="B79" s="8" t="s">
        <v>75</v>
      </c>
      <c r="C79" s="8" t="s">
        <v>277</v>
      </c>
      <c r="D79" s="5">
        <v>2</v>
      </c>
      <c r="E79" s="5">
        <f t="shared" si="2"/>
        <v>0</v>
      </c>
      <c r="F79" s="5">
        <f t="shared" si="3"/>
        <v>2</v>
      </c>
      <c r="J79" s="6"/>
    </row>
    <row r="80" spans="1:10" x14ac:dyDescent="0.3">
      <c r="A80" s="5">
        <v>79</v>
      </c>
      <c r="B80" s="8" t="s">
        <v>85</v>
      </c>
      <c r="C80" s="8" t="s">
        <v>284</v>
      </c>
      <c r="D80" s="5">
        <v>2</v>
      </c>
      <c r="E80" s="5">
        <f t="shared" si="2"/>
        <v>0</v>
      </c>
      <c r="F80" s="5">
        <f t="shared" si="3"/>
        <v>2</v>
      </c>
      <c r="J80" s="6"/>
    </row>
    <row r="81" spans="1:10" x14ac:dyDescent="0.3">
      <c r="A81" s="5">
        <v>80</v>
      </c>
      <c r="B81" s="8" t="s">
        <v>138</v>
      </c>
      <c r="C81" s="8" t="s">
        <v>335</v>
      </c>
      <c r="D81" s="5">
        <v>2</v>
      </c>
      <c r="E81" s="5">
        <f t="shared" si="2"/>
        <v>0</v>
      </c>
      <c r="F81" s="5">
        <f t="shared" si="3"/>
        <v>2</v>
      </c>
      <c r="J81" s="6"/>
    </row>
    <row r="82" spans="1:10" x14ac:dyDescent="0.3">
      <c r="A82" s="5">
        <v>81</v>
      </c>
      <c r="B82" s="8" t="s">
        <v>99</v>
      </c>
      <c r="C82" s="8" t="s">
        <v>299</v>
      </c>
      <c r="D82" s="5">
        <v>2</v>
      </c>
      <c r="E82" s="5">
        <f t="shared" si="2"/>
        <v>0</v>
      </c>
      <c r="F82" s="5">
        <f t="shared" si="3"/>
        <v>2</v>
      </c>
      <c r="J82" s="6"/>
    </row>
    <row r="83" spans="1:10" x14ac:dyDescent="0.3">
      <c r="A83" s="5">
        <v>82</v>
      </c>
      <c r="B83" s="8" t="s">
        <v>96</v>
      </c>
      <c r="C83" s="8" t="s">
        <v>296</v>
      </c>
      <c r="D83" s="5">
        <v>2</v>
      </c>
      <c r="E83" s="5">
        <f t="shared" si="2"/>
        <v>0</v>
      </c>
      <c r="F83" s="5">
        <f t="shared" si="3"/>
        <v>2</v>
      </c>
      <c r="J83" s="6"/>
    </row>
    <row r="84" spans="1:10" x14ac:dyDescent="0.3">
      <c r="A84" s="5">
        <v>83</v>
      </c>
      <c r="B84" s="8" t="s">
        <v>426</v>
      </c>
      <c r="C84" s="8" t="s">
        <v>294</v>
      </c>
      <c r="D84" s="5">
        <v>2</v>
      </c>
      <c r="E84" s="5">
        <f t="shared" si="2"/>
        <v>0</v>
      </c>
      <c r="F84" s="5">
        <f t="shared" si="3"/>
        <v>2</v>
      </c>
      <c r="J84" s="6"/>
    </row>
    <row r="85" spans="1:10" x14ac:dyDescent="0.3">
      <c r="A85" s="5">
        <v>84</v>
      </c>
      <c r="B85" s="8" t="s">
        <v>92</v>
      </c>
      <c r="C85" s="8" t="s">
        <v>291</v>
      </c>
      <c r="D85" s="5">
        <v>2</v>
      </c>
      <c r="E85" s="5">
        <f t="shared" si="2"/>
        <v>0</v>
      </c>
      <c r="F85" s="5">
        <f t="shared" si="3"/>
        <v>2</v>
      </c>
      <c r="J85" s="6"/>
    </row>
    <row r="86" spans="1:10" x14ac:dyDescent="0.3">
      <c r="A86" s="5">
        <v>85</v>
      </c>
      <c r="B86" s="8" t="s">
        <v>93</v>
      </c>
      <c r="C86" s="8" t="s">
        <v>292</v>
      </c>
      <c r="D86" s="5">
        <v>2</v>
      </c>
      <c r="E86" s="5">
        <f t="shared" si="2"/>
        <v>0</v>
      </c>
      <c r="F86" s="5">
        <f t="shared" si="3"/>
        <v>2</v>
      </c>
      <c r="J86" s="6"/>
    </row>
    <row r="87" spans="1:10" x14ac:dyDescent="0.3">
      <c r="A87" s="5">
        <v>86</v>
      </c>
      <c r="B87" s="8" t="s">
        <v>115</v>
      </c>
      <c r="C87" s="8" t="s">
        <v>315</v>
      </c>
      <c r="D87" s="5">
        <v>2</v>
      </c>
      <c r="E87" s="5">
        <f t="shared" si="2"/>
        <v>0</v>
      </c>
      <c r="F87" s="5">
        <f t="shared" si="3"/>
        <v>2</v>
      </c>
      <c r="J87" s="6"/>
    </row>
    <row r="88" spans="1:10" x14ac:dyDescent="0.3">
      <c r="A88" s="5">
        <v>87</v>
      </c>
      <c r="B88" s="8" t="s">
        <v>101</v>
      </c>
      <c r="C88" s="8" t="s">
        <v>301</v>
      </c>
      <c r="D88" s="5">
        <v>2</v>
      </c>
      <c r="E88" s="5">
        <f t="shared" si="2"/>
        <v>0</v>
      </c>
      <c r="F88" s="5">
        <f t="shared" si="3"/>
        <v>2</v>
      </c>
      <c r="J88" s="6"/>
    </row>
    <row r="89" spans="1:10" x14ac:dyDescent="0.3">
      <c r="A89" s="5">
        <v>88</v>
      </c>
      <c r="B89" s="8" t="s">
        <v>107</v>
      </c>
      <c r="C89" s="8" t="s">
        <v>307</v>
      </c>
      <c r="D89" s="5">
        <v>2</v>
      </c>
      <c r="E89" s="5">
        <f t="shared" si="2"/>
        <v>0</v>
      </c>
      <c r="F89" s="5">
        <f t="shared" si="3"/>
        <v>2</v>
      </c>
      <c r="J89" s="6"/>
    </row>
    <row r="90" spans="1:10" x14ac:dyDescent="0.3">
      <c r="A90" s="5">
        <v>89</v>
      </c>
      <c r="B90" s="8" t="s">
        <v>105</v>
      </c>
      <c r="C90" s="8" t="s">
        <v>305</v>
      </c>
      <c r="D90" s="5">
        <v>2</v>
      </c>
      <c r="E90" s="5">
        <f t="shared" si="2"/>
        <v>0</v>
      </c>
      <c r="F90" s="5">
        <f t="shared" si="3"/>
        <v>2</v>
      </c>
      <c r="J90" s="6"/>
    </row>
    <row r="91" spans="1:10" x14ac:dyDescent="0.3">
      <c r="A91" s="5">
        <v>90</v>
      </c>
      <c r="B91" s="8" t="s">
        <v>110</v>
      </c>
      <c r="C91" s="8" t="s">
        <v>310</v>
      </c>
      <c r="D91" s="5">
        <v>2</v>
      </c>
      <c r="E91" s="5">
        <f t="shared" si="2"/>
        <v>0</v>
      </c>
      <c r="F91" s="5">
        <f t="shared" si="3"/>
        <v>2</v>
      </c>
      <c r="J91" s="6"/>
    </row>
    <row r="92" spans="1:10" x14ac:dyDescent="0.3">
      <c r="A92" s="5">
        <v>91</v>
      </c>
      <c r="B92" s="8" t="s">
        <v>111</v>
      </c>
      <c r="C92" s="8" t="s">
        <v>311</v>
      </c>
      <c r="D92" s="5">
        <v>2</v>
      </c>
      <c r="E92" s="5">
        <f t="shared" si="2"/>
        <v>0</v>
      </c>
      <c r="F92" s="5">
        <f t="shared" si="3"/>
        <v>2</v>
      </c>
      <c r="J92" s="6"/>
    </row>
    <row r="93" spans="1:10" x14ac:dyDescent="0.3">
      <c r="A93" s="5">
        <v>92</v>
      </c>
      <c r="B93" s="8" t="s">
        <v>98</v>
      </c>
      <c r="C93" s="8" t="s">
        <v>298</v>
      </c>
      <c r="D93" s="5">
        <v>2</v>
      </c>
      <c r="E93" s="5">
        <f t="shared" si="2"/>
        <v>0</v>
      </c>
      <c r="F93" s="5">
        <f t="shared" si="3"/>
        <v>2</v>
      </c>
      <c r="J93" s="6"/>
    </row>
    <row r="94" spans="1:10" x14ac:dyDescent="0.3">
      <c r="A94" s="5">
        <v>93</v>
      </c>
      <c r="B94" s="8" t="s">
        <v>40</v>
      </c>
      <c r="C94" s="8" t="s">
        <v>243</v>
      </c>
      <c r="D94" s="5">
        <v>2</v>
      </c>
      <c r="E94" s="5">
        <f t="shared" si="2"/>
        <v>0</v>
      </c>
      <c r="F94" s="5">
        <f t="shared" si="3"/>
        <v>2</v>
      </c>
      <c r="J94" s="6"/>
    </row>
    <row r="95" spans="1:10" x14ac:dyDescent="0.3">
      <c r="A95" s="5">
        <v>94</v>
      </c>
      <c r="B95" s="8" t="s">
        <v>52</v>
      </c>
      <c r="C95" s="8" t="s">
        <v>255</v>
      </c>
      <c r="D95" s="5">
        <v>2</v>
      </c>
      <c r="E95" s="5">
        <f t="shared" si="2"/>
        <v>0</v>
      </c>
      <c r="F95" s="5">
        <f t="shared" si="3"/>
        <v>2</v>
      </c>
      <c r="J95" s="6"/>
    </row>
    <row r="96" spans="1:10" x14ac:dyDescent="0.3">
      <c r="A96" s="5">
        <v>95</v>
      </c>
      <c r="B96" s="8" t="s">
        <v>146</v>
      </c>
      <c r="C96" s="8" t="s">
        <v>341</v>
      </c>
      <c r="D96" s="5">
        <v>2</v>
      </c>
      <c r="E96" s="5">
        <f t="shared" si="2"/>
        <v>0</v>
      </c>
      <c r="F96" s="5">
        <f t="shared" si="3"/>
        <v>2</v>
      </c>
      <c r="J96" s="6"/>
    </row>
    <row r="97" spans="1:10" x14ac:dyDescent="0.3">
      <c r="A97" s="5">
        <v>96</v>
      </c>
      <c r="B97" s="8" t="s">
        <v>106</v>
      </c>
      <c r="C97" s="8" t="s">
        <v>306</v>
      </c>
      <c r="D97" s="5">
        <v>2</v>
      </c>
      <c r="E97" s="5">
        <f t="shared" si="2"/>
        <v>0</v>
      </c>
      <c r="F97" s="5">
        <f t="shared" si="3"/>
        <v>2</v>
      </c>
      <c r="J97" s="6"/>
    </row>
    <row r="98" spans="1:10" x14ac:dyDescent="0.3">
      <c r="A98" s="5">
        <v>97</v>
      </c>
      <c r="B98" s="8" t="s">
        <v>116</v>
      </c>
      <c r="C98" s="8" t="s">
        <v>316</v>
      </c>
      <c r="D98" s="5">
        <v>2</v>
      </c>
      <c r="E98" s="5">
        <f t="shared" si="2"/>
        <v>0</v>
      </c>
      <c r="F98" s="5">
        <f t="shared" si="3"/>
        <v>2</v>
      </c>
      <c r="J98" s="6"/>
    </row>
    <row r="99" spans="1:10" x14ac:dyDescent="0.3">
      <c r="A99" s="5">
        <v>98</v>
      </c>
      <c r="B99" s="8" t="s">
        <v>104</v>
      </c>
      <c r="C99" s="8" t="s">
        <v>304</v>
      </c>
      <c r="D99" s="5">
        <v>2</v>
      </c>
      <c r="E99" s="5">
        <f t="shared" si="2"/>
        <v>0</v>
      </c>
      <c r="F99" s="5">
        <f t="shared" si="3"/>
        <v>2</v>
      </c>
      <c r="J99" s="6"/>
    </row>
    <row r="100" spans="1:10" x14ac:dyDescent="0.3">
      <c r="A100" s="5">
        <v>99</v>
      </c>
      <c r="B100" s="8" t="s">
        <v>56</v>
      </c>
      <c r="C100" s="8" t="s">
        <v>258</v>
      </c>
      <c r="D100" s="5">
        <v>2</v>
      </c>
      <c r="E100" s="5">
        <f t="shared" si="2"/>
        <v>0</v>
      </c>
      <c r="F100" s="5">
        <f t="shared" si="3"/>
        <v>2</v>
      </c>
      <c r="J100" s="6"/>
    </row>
    <row r="101" spans="1:10" x14ac:dyDescent="0.3">
      <c r="A101" s="5">
        <v>100</v>
      </c>
      <c r="B101" s="8" t="s">
        <v>113</v>
      </c>
      <c r="C101" s="8" t="s">
        <v>313</v>
      </c>
      <c r="D101" s="5">
        <v>2</v>
      </c>
      <c r="E101" s="5">
        <f t="shared" si="2"/>
        <v>0</v>
      </c>
      <c r="F101" s="5">
        <f t="shared" si="3"/>
        <v>2</v>
      </c>
      <c r="J101" s="6"/>
    </row>
    <row r="102" spans="1:10" x14ac:dyDescent="0.3">
      <c r="A102" s="5">
        <v>101</v>
      </c>
      <c r="B102" s="8" t="s">
        <v>119</v>
      </c>
      <c r="C102" s="8" t="s">
        <v>318</v>
      </c>
      <c r="D102" s="5">
        <v>2</v>
      </c>
      <c r="E102" s="5">
        <f t="shared" si="2"/>
        <v>0</v>
      </c>
      <c r="F102" s="5">
        <f t="shared" si="3"/>
        <v>2</v>
      </c>
      <c r="J102" s="6"/>
    </row>
    <row r="103" spans="1:10" x14ac:dyDescent="0.3">
      <c r="A103" s="5">
        <v>102</v>
      </c>
      <c r="B103" s="8" t="s">
        <v>66</v>
      </c>
      <c r="C103" s="8" t="s">
        <v>269</v>
      </c>
      <c r="D103" s="5">
        <v>2</v>
      </c>
      <c r="E103" s="5">
        <f t="shared" si="2"/>
        <v>0</v>
      </c>
      <c r="F103" s="5">
        <f t="shared" si="3"/>
        <v>2</v>
      </c>
      <c r="J103" s="6"/>
    </row>
    <row r="104" spans="1:10" x14ac:dyDescent="0.3">
      <c r="A104" s="5">
        <v>103</v>
      </c>
      <c r="B104" s="8" t="s">
        <v>121</v>
      </c>
      <c r="C104" s="8" t="s">
        <v>320</v>
      </c>
      <c r="D104" s="5">
        <v>2</v>
      </c>
      <c r="E104" s="5">
        <f t="shared" si="2"/>
        <v>0</v>
      </c>
      <c r="F104" s="5">
        <f t="shared" si="3"/>
        <v>2</v>
      </c>
      <c r="J104" s="6"/>
    </row>
    <row r="105" spans="1:10" x14ac:dyDescent="0.3">
      <c r="A105" s="5">
        <v>104</v>
      </c>
      <c r="B105" s="8" t="s">
        <v>63</v>
      </c>
      <c r="C105" s="8" t="s">
        <v>265</v>
      </c>
      <c r="D105" s="5">
        <v>2</v>
      </c>
      <c r="E105" s="5">
        <f t="shared" si="2"/>
        <v>0</v>
      </c>
      <c r="F105" s="5">
        <f t="shared" si="3"/>
        <v>2</v>
      </c>
      <c r="J105" s="6"/>
    </row>
    <row r="106" spans="1:10" x14ac:dyDescent="0.3">
      <c r="A106" s="5">
        <v>105</v>
      </c>
      <c r="B106" s="8" t="s">
        <v>100</v>
      </c>
      <c r="C106" s="8" t="s">
        <v>300</v>
      </c>
      <c r="D106" s="5">
        <v>2</v>
      </c>
      <c r="E106" s="5">
        <f t="shared" si="2"/>
        <v>0</v>
      </c>
      <c r="F106" s="5">
        <f t="shared" si="3"/>
        <v>2</v>
      </c>
      <c r="J106" s="6"/>
    </row>
    <row r="107" spans="1:10" x14ac:dyDescent="0.3">
      <c r="A107" s="5">
        <v>106</v>
      </c>
      <c r="B107" s="8" t="s">
        <v>103</v>
      </c>
      <c r="C107" s="8" t="s">
        <v>303</v>
      </c>
      <c r="D107" s="5">
        <v>2</v>
      </c>
      <c r="E107" s="5">
        <f t="shared" si="2"/>
        <v>0</v>
      </c>
      <c r="F107" s="5">
        <f t="shared" si="3"/>
        <v>2</v>
      </c>
      <c r="J107" s="6"/>
    </row>
    <row r="108" spans="1:10" x14ac:dyDescent="0.3">
      <c r="A108" s="5">
        <v>107</v>
      </c>
      <c r="B108" s="8" t="s">
        <v>130</v>
      </c>
      <c r="C108" s="8" t="s">
        <v>207</v>
      </c>
      <c r="D108" s="5">
        <v>2</v>
      </c>
      <c r="E108" s="5">
        <f t="shared" si="2"/>
        <v>0</v>
      </c>
      <c r="F108" s="5">
        <f t="shared" si="3"/>
        <v>2</v>
      </c>
      <c r="J108" s="6"/>
    </row>
    <row r="109" spans="1:10" x14ac:dyDescent="0.3">
      <c r="A109" s="5">
        <v>108</v>
      </c>
      <c r="B109" s="8" t="s">
        <v>137</v>
      </c>
      <c r="C109" s="8" t="s">
        <v>334</v>
      </c>
      <c r="D109" s="5">
        <v>2</v>
      </c>
      <c r="E109" s="5">
        <f t="shared" si="2"/>
        <v>0</v>
      </c>
      <c r="F109" s="5">
        <f t="shared" si="3"/>
        <v>2</v>
      </c>
      <c r="J109" s="6"/>
    </row>
    <row r="110" spans="1:10" x14ac:dyDescent="0.3">
      <c r="A110" s="5">
        <v>109</v>
      </c>
      <c r="B110" s="8" t="s">
        <v>139</v>
      </c>
      <c r="C110" s="8" t="s">
        <v>336</v>
      </c>
      <c r="D110" s="5">
        <v>2</v>
      </c>
      <c r="E110" s="5">
        <f t="shared" si="2"/>
        <v>0</v>
      </c>
      <c r="F110" s="5">
        <f t="shared" si="3"/>
        <v>2</v>
      </c>
      <c r="J110" s="6"/>
    </row>
    <row r="111" spans="1:10" x14ac:dyDescent="0.3">
      <c r="A111" s="5">
        <v>110</v>
      </c>
      <c r="B111" s="8" t="s">
        <v>135</v>
      </c>
      <c r="C111" s="8" t="s">
        <v>319</v>
      </c>
      <c r="D111" s="5">
        <v>2</v>
      </c>
      <c r="E111" s="5">
        <f t="shared" si="2"/>
        <v>0</v>
      </c>
      <c r="F111" s="5">
        <f t="shared" si="3"/>
        <v>2</v>
      </c>
      <c r="J111" s="6"/>
    </row>
    <row r="112" spans="1:10" x14ac:dyDescent="0.3">
      <c r="A112" s="5">
        <v>111</v>
      </c>
      <c r="B112" s="8" t="s">
        <v>152</v>
      </c>
      <c r="C112" s="8" t="s">
        <v>207</v>
      </c>
      <c r="D112" s="5">
        <v>2</v>
      </c>
      <c r="E112" s="5">
        <f t="shared" si="2"/>
        <v>0</v>
      </c>
      <c r="F112" s="5">
        <f t="shared" si="3"/>
        <v>2</v>
      </c>
      <c r="J112" s="6"/>
    </row>
    <row r="113" spans="1:10" x14ac:dyDescent="0.3">
      <c r="A113" s="5">
        <v>112</v>
      </c>
      <c r="B113" s="8" t="s">
        <v>153</v>
      </c>
      <c r="C113" s="8" t="s">
        <v>207</v>
      </c>
      <c r="D113" s="5">
        <v>2</v>
      </c>
      <c r="E113" s="5">
        <f t="shared" si="2"/>
        <v>0</v>
      </c>
      <c r="F113" s="5">
        <f t="shared" si="3"/>
        <v>2</v>
      </c>
      <c r="J113" s="6"/>
    </row>
    <row r="114" spans="1:10" x14ac:dyDescent="0.3">
      <c r="A114" s="5">
        <v>113</v>
      </c>
      <c r="B114" s="8" t="s">
        <v>114</v>
      </c>
      <c r="C114" s="8" t="s">
        <v>314</v>
      </c>
      <c r="D114" s="5">
        <v>2</v>
      </c>
      <c r="E114" s="5">
        <f t="shared" si="2"/>
        <v>0</v>
      </c>
      <c r="F114" s="5">
        <f t="shared" si="3"/>
        <v>2</v>
      </c>
      <c r="J114" s="6"/>
    </row>
    <row r="115" spans="1:10" x14ac:dyDescent="0.3">
      <c r="A115" s="5">
        <v>114</v>
      </c>
      <c r="B115" s="8" t="s">
        <v>125</v>
      </c>
      <c r="C115" s="8" t="s">
        <v>325</v>
      </c>
      <c r="D115" s="5">
        <v>2</v>
      </c>
      <c r="E115" s="5">
        <f t="shared" si="2"/>
        <v>0</v>
      </c>
      <c r="F115" s="5">
        <f t="shared" si="3"/>
        <v>2</v>
      </c>
      <c r="J115" s="6"/>
    </row>
    <row r="116" spans="1:10" x14ac:dyDescent="0.3">
      <c r="A116" s="5">
        <v>115</v>
      </c>
      <c r="B116" s="8" t="s">
        <v>128</v>
      </c>
      <c r="C116" s="8" t="s">
        <v>328</v>
      </c>
      <c r="D116" s="5">
        <v>2</v>
      </c>
      <c r="E116" s="5">
        <f t="shared" si="2"/>
        <v>0</v>
      </c>
      <c r="F116" s="5">
        <f t="shared" si="3"/>
        <v>2</v>
      </c>
      <c r="J116" s="6"/>
    </row>
    <row r="117" spans="1:10" x14ac:dyDescent="0.3">
      <c r="A117" s="5">
        <v>116</v>
      </c>
      <c r="B117" s="8" t="s">
        <v>117</v>
      </c>
      <c r="C117" s="8" t="s">
        <v>317</v>
      </c>
      <c r="D117" s="5">
        <v>2</v>
      </c>
      <c r="E117" s="5">
        <f t="shared" si="2"/>
        <v>0</v>
      </c>
      <c r="F117" s="5">
        <f t="shared" si="3"/>
        <v>2</v>
      </c>
      <c r="J117" s="6"/>
    </row>
    <row r="118" spans="1:10" x14ac:dyDescent="0.3">
      <c r="A118" s="5">
        <v>117</v>
      </c>
      <c r="B118" s="8" t="s">
        <v>134</v>
      </c>
      <c r="C118" s="8" t="s">
        <v>332</v>
      </c>
      <c r="D118" s="5">
        <v>2</v>
      </c>
      <c r="E118" s="5">
        <f t="shared" si="2"/>
        <v>0</v>
      </c>
      <c r="F118" s="5">
        <f t="shared" si="3"/>
        <v>2</v>
      </c>
      <c r="J118" s="6"/>
    </row>
    <row r="119" spans="1:10" x14ac:dyDescent="0.3">
      <c r="A119" s="5">
        <v>118</v>
      </c>
      <c r="B119" s="8" t="s">
        <v>140</v>
      </c>
      <c r="C119" s="8" t="s">
        <v>337</v>
      </c>
      <c r="D119" s="5">
        <v>2</v>
      </c>
      <c r="E119" s="5">
        <f t="shared" si="2"/>
        <v>0</v>
      </c>
      <c r="F119" s="5">
        <f t="shared" si="3"/>
        <v>2</v>
      </c>
      <c r="J119" s="6"/>
    </row>
    <row r="120" spans="1:10" x14ac:dyDescent="0.3">
      <c r="A120" s="5">
        <v>119</v>
      </c>
      <c r="B120" s="8" t="s">
        <v>127</v>
      </c>
      <c r="C120" s="8" t="s">
        <v>327</v>
      </c>
      <c r="D120" s="5">
        <v>2</v>
      </c>
      <c r="E120" s="5">
        <f t="shared" si="2"/>
        <v>0</v>
      </c>
      <c r="F120" s="5">
        <f t="shared" si="3"/>
        <v>2</v>
      </c>
      <c r="J120" s="6"/>
    </row>
    <row r="121" spans="1:10" x14ac:dyDescent="0.3">
      <c r="A121" s="5">
        <v>120</v>
      </c>
      <c r="B121" s="8" t="s">
        <v>112</v>
      </c>
      <c r="C121" s="8" t="s">
        <v>312</v>
      </c>
      <c r="D121" s="5">
        <v>2</v>
      </c>
      <c r="E121" s="5">
        <f t="shared" si="2"/>
        <v>0</v>
      </c>
      <c r="F121" s="5">
        <f t="shared" si="3"/>
        <v>2</v>
      </c>
      <c r="J121" s="6"/>
    </row>
    <row r="122" spans="1:10" x14ac:dyDescent="0.3">
      <c r="A122" s="5">
        <v>121</v>
      </c>
      <c r="B122" s="8" t="s">
        <v>89</v>
      </c>
      <c r="C122" s="8" t="s">
        <v>288</v>
      </c>
      <c r="D122" s="5">
        <v>2</v>
      </c>
      <c r="E122" s="5">
        <f t="shared" si="2"/>
        <v>0</v>
      </c>
      <c r="F122" s="5">
        <f t="shared" si="3"/>
        <v>2</v>
      </c>
      <c r="J122" s="6"/>
    </row>
    <row r="123" spans="1:10" x14ac:dyDescent="0.3">
      <c r="A123" s="5">
        <v>122</v>
      </c>
      <c r="B123" s="8" t="s">
        <v>124</v>
      </c>
      <c r="C123" s="8" t="s">
        <v>324</v>
      </c>
      <c r="D123" s="5">
        <v>2</v>
      </c>
      <c r="E123" s="5">
        <f t="shared" si="2"/>
        <v>0</v>
      </c>
      <c r="F123" s="5">
        <f t="shared" si="3"/>
        <v>2</v>
      </c>
      <c r="J123" s="6"/>
    </row>
    <row r="124" spans="1:10" x14ac:dyDescent="0.3">
      <c r="A124" s="5">
        <v>123</v>
      </c>
      <c r="B124" s="8" t="s">
        <v>148</v>
      </c>
      <c r="C124" s="8">
        <v>230100</v>
      </c>
      <c r="D124" s="5">
        <v>2</v>
      </c>
      <c r="E124" s="5">
        <f t="shared" si="2"/>
        <v>0</v>
      </c>
      <c r="F124" s="5">
        <f t="shared" si="3"/>
        <v>2</v>
      </c>
      <c r="J124" s="6"/>
    </row>
    <row r="125" spans="1:10" x14ac:dyDescent="0.3">
      <c r="A125" s="5">
        <v>124</v>
      </c>
      <c r="B125" s="8" t="s">
        <v>109</v>
      </c>
      <c r="C125" s="8" t="s">
        <v>309</v>
      </c>
      <c r="D125" s="5">
        <v>2</v>
      </c>
      <c r="E125" s="5">
        <f t="shared" si="2"/>
        <v>0</v>
      </c>
      <c r="F125" s="5">
        <f t="shared" si="3"/>
        <v>2</v>
      </c>
      <c r="J125" s="6"/>
    </row>
    <row r="126" spans="1:10" x14ac:dyDescent="0.3">
      <c r="A126" s="5">
        <v>125</v>
      </c>
      <c r="B126" s="8" t="s">
        <v>141</v>
      </c>
      <c r="C126" s="8" t="s">
        <v>338</v>
      </c>
      <c r="D126" s="5">
        <v>2</v>
      </c>
      <c r="E126" s="5">
        <f t="shared" si="2"/>
        <v>0</v>
      </c>
      <c r="F126" s="5">
        <f t="shared" si="3"/>
        <v>2</v>
      </c>
      <c r="J126" s="6"/>
    </row>
    <row r="127" spans="1:10" x14ac:dyDescent="0.3">
      <c r="A127" s="5">
        <v>126</v>
      </c>
      <c r="B127" s="8" t="s">
        <v>145</v>
      </c>
      <c r="C127" s="8" t="s">
        <v>340</v>
      </c>
      <c r="D127" s="5">
        <v>2</v>
      </c>
      <c r="E127" s="5">
        <f t="shared" si="2"/>
        <v>0</v>
      </c>
      <c r="F127" s="5">
        <f t="shared" si="3"/>
        <v>2</v>
      </c>
      <c r="J127" s="6"/>
    </row>
    <row r="128" spans="1:10" x14ac:dyDescent="0.3">
      <c r="A128" s="5">
        <v>127</v>
      </c>
      <c r="B128" s="8" t="s">
        <v>142</v>
      </c>
      <c r="C128" s="8" t="s">
        <v>339</v>
      </c>
      <c r="D128" s="5">
        <v>2</v>
      </c>
      <c r="E128" s="5">
        <f t="shared" si="2"/>
        <v>0</v>
      </c>
      <c r="F128" s="5">
        <f t="shared" si="3"/>
        <v>2</v>
      </c>
      <c r="J128" s="6"/>
    </row>
    <row r="129" spans="1:10" x14ac:dyDescent="0.3">
      <c r="A129" s="5">
        <v>128</v>
      </c>
      <c r="B129" s="8" t="s">
        <v>77</v>
      </c>
      <c r="C129" s="8" t="s">
        <v>279</v>
      </c>
      <c r="D129" s="5">
        <v>2</v>
      </c>
      <c r="E129" s="5">
        <f t="shared" si="2"/>
        <v>0</v>
      </c>
      <c r="F129" s="5">
        <f t="shared" si="3"/>
        <v>2</v>
      </c>
      <c r="J129" s="6"/>
    </row>
    <row r="130" spans="1:10" x14ac:dyDescent="0.3">
      <c r="A130" s="5">
        <v>129</v>
      </c>
      <c r="B130" s="8" t="s">
        <v>102</v>
      </c>
      <c r="C130" s="8" t="s">
        <v>302</v>
      </c>
      <c r="D130" s="5">
        <v>2</v>
      </c>
      <c r="E130" s="5">
        <f t="shared" ref="E130:E193" si="4">SUMIF($G:$G,B130,$H:$H)</f>
        <v>0</v>
      </c>
      <c r="F130" s="5">
        <f t="shared" si="3"/>
        <v>2</v>
      </c>
      <c r="J130" s="6"/>
    </row>
    <row r="131" spans="1:10" x14ac:dyDescent="0.3">
      <c r="A131" s="5">
        <v>130</v>
      </c>
      <c r="B131" s="8" t="s">
        <v>120</v>
      </c>
      <c r="C131" s="8" t="s">
        <v>319</v>
      </c>
      <c r="D131" s="5">
        <v>2</v>
      </c>
      <c r="E131" s="5">
        <f t="shared" si="4"/>
        <v>0</v>
      </c>
      <c r="F131" s="5">
        <f t="shared" ref="F131:F194" si="5">D131-E131</f>
        <v>2</v>
      </c>
      <c r="J131" s="6"/>
    </row>
    <row r="132" spans="1:10" x14ac:dyDescent="0.3">
      <c r="A132" s="5">
        <v>131</v>
      </c>
      <c r="B132" s="8" t="s">
        <v>136</v>
      </c>
      <c r="C132" s="8" t="s">
        <v>333</v>
      </c>
      <c r="D132" s="5">
        <v>2</v>
      </c>
      <c r="E132" s="5">
        <f t="shared" si="4"/>
        <v>0</v>
      </c>
      <c r="F132" s="5">
        <f t="shared" si="5"/>
        <v>2</v>
      </c>
      <c r="J132" s="6"/>
    </row>
    <row r="133" spans="1:10" x14ac:dyDescent="0.3">
      <c r="A133" s="5">
        <v>132</v>
      </c>
      <c r="B133" s="8" t="s">
        <v>87</v>
      </c>
      <c r="C133" s="8" t="s">
        <v>286</v>
      </c>
      <c r="D133" s="5">
        <v>2</v>
      </c>
      <c r="E133" s="5">
        <f t="shared" si="4"/>
        <v>0</v>
      </c>
      <c r="F133" s="5">
        <f t="shared" si="5"/>
        <v>2</v>
      </c>
      <c r="J133" s="6"/>
    </row>
    <row r="134" spans="1:10" x14ac:dyDescent="0.3">
      <c r="A134" s="5">
        <v>133</v>
      </c>
      <c r="B134" s="8" t="s">
        <v>129</v>
      </c>
      <c r="C134" s="8" t="s">
        <v>329</v>
      </c>
      <c r="D134" s="5">
        <v>2</v>
      </c>
      <c r="E134" s="5">
        <f t="shared" si="4"/>
        <v>0</v>
      </c>
      <c r="F134" s="5">
        <f t="shared" si="5"/>
        <v>2</v>
      </c>
      <c r="J134" s="6"/>
    </row>
    <row r="135" spans="1:10" x14ac:dyDescent="0.3">
      <c r="A135" s="5">
        <v>134</v>
      </c>
      <c r="B135" s="8" t="s">
        <v>150</v>
      </c>
      <c r="C135" s="8">
        <v>230230</v>
      </c>
      <c r="D135" s="5">
        <v>2</v>
      </c>
      <c r="E135" s="5">
        <f t="shared" si="4"/>
        <v>0</v>
      </c>
      <c r="F135" s="5">
        <f t="shared" si="5"/>
        <v>2</v>
      </c>
      <c r="J135" s="6"/>
    </row>
    <row r="136" spans="1:10" x14ac:dyDescent="0.3">
      <c r="A136" s="5">
        <v>135</v>
      </c>
      <c r="B136" s="8" t="s">
        <v>94</v>
      </c>
      <c r="C136" s="8" t="s">
        <v>293</v>
      </c>
      <c r="D136" s="5">
        <v>2</v>
      </c>
      <c r="E136" s="5">
        <f t="shared" si="4"/>
        <v>0</v>
      </c>
      <c r="F136" s="5">
        <f t="shared" si="5"/>
        <v>2</v>
      </c>
      <c r="J136" s="6"/>
    </row>
    <row r="137" spans="1:10" x14ac:dyDescent="0.3">
      <c r="A137" s="5">
        <v>136</v>
      </c>
      <c r="B137" s="8" t="s">
        <v>122</v>
      </c>
      <c r="C137" s="8" t="s">
        <v>321</v>
      </c>
      <c r="D137" s="5">
        <v>2</v>
      </c>
      <c r="E137" s="5">
        <f t="shared" si="4"/>
        <v>0</v>
      </c>
      <c r="F137" s="5">
        <f t="shared" si="5"/>
        <v>2</v>
      </c>
      <c r="J137" s="6"/>
    </row>
    <row r="138" spans="1:10" x14ac:dyDescent="0.3">
      <c r="A138" s="5">
        <v>137</v>
      </c>
      <c r="B138" s="8" t="s">
        <v>123</v>
      </c>
      <c r="C138" s="8" t="s">
        <v>323</v>
      </c>
      <c r="D138" s="5">
        <v>2</v>
      </c>
      <c r="E138" s="5">
        <f t="shared" si="4"/>
        <v>0</v>
      </c>
      <c r="F138" s="5">
        <f t="shared" si="5"/>
        <v>2</v>
      </c>
      <c r="J138" s="6"/>
    </row>
    <row r="139" spans="1:10" x14ac:dyDescent="0.3">
      <c r="A139" s="5">
        <v>138</v>
      </c>
      <c r="B139" s="8" t="s">
        <v>108</v>
      </c>
      <c r="C139" s="8" t="s">
        <v>308</v>
      </c>
      <c r="D139" s="5">
        <v>2</v>
      </c>
      <c r="E139" s="5">
        <f t="shared" si="4"/>
        <v>0</v>
      </c>
      <c r="F139" s="5">
        <f t="shared" si="5"/>
        <v>2</v>
      </c>
      <c r="J139" s="6"/>
    </row>
    <row r="140" spans="1:10" x14ac:dyDescent="0.3">
      <c r="A140" s="5">
        <v>139</v>
      </c>
      <c r="B140" s="8" t="s">
        <v>154</v>
      </c>
      <c r="C140" s="8" t="s">
        <v>342</v>
      </c>
      <c r="D140" s="5">
        <v>2</v>
      </c>
      <c r="E140" s="5">
        <f t="shared" si="4"/>
        <v>0</v>
      </c>
      <c r="F140" s="5">
        <f t="shared" si="5"/>
        <v>2</v>
      </c>
      <c r="J140" s="6"/>
    </row>
    <row r="141" spans="1:10" x14ac:dyDescent="0.3">
      <c r="A141" s="5">
        <v>140</v>
      </c>
      <c r="B141" s="8" t="s">
        <v>131</v>
      </c>
      <c r="C141" s="8" t="s">
        <v>330</v>
      </c>
      <c r="D141" s="5">
        <v>2</v>
      </c>
      <c r="E141" s="5">
        <f t="shared" si="4"/>
        <v>0</v>
      </c>
      <c r="F141" s="5">
        <f t="shared" si="5"/>
        <v>2</v>
      </c>
      <c r="J141" s="6"/>
    </row>
    <row r="142" spans="1:10" x14ac:dyDescent="0.3">
      <c r="A142" s="5">
        <v>141</v>
      </c>
      <c r="B142" s="8" t="s">
        <v>143</v>
      </c>
      <c r="C142" s="8">
        <v>230125</v>
      </c>
      <c r="D142" s="5">
        <v>2</v>
      </c>
      <c r="E142" s="5">
        <f t="shared" si="4"/>
        <v>0</v>
      </c>
      <c r="F142" s="5">
        <f t="shared" si="5"/>
        <v>2</v>
      </c>
      <c r="J142" s="6"/>
    </row>
    <row r="143" spans="1:10" x14ac:dyDescent="0.3">
      <c r="A143" s="5">
        <v>142</v>
      </c>
      <c r="B143" s="8" t="s">
        <v>97</v>
      </c>
      <c r="C143" s="8" t="s">
        <v>297</v>
      </c>
      <c r="D143" s="5">
        <v>2</v>
      </c>
      <c r="E143" s="5">
        <f t="shared" si="4"/>
        <v>0</v>
      </c>
      <c r="F143" s="5">
        <f t="shared" si="5"/>
        <v>2</v>
      </c>
      <c r="J143" s="6"/>
    </row>
    <row r="144" spans="1:10" x14ac:dyDescent="0.3">
      <c r="A144" s="5">
        <v>143</v>
      </c>
      <c r="B144" s="8" t="s">
        <v>123</v>
      </c>
      <c r="C144" s="8" t="s">
        <v>323</v>
      </c>
      <c r="D144" s="5">
        <v>2</v>
      </c>
      <c r="E144" s="5">
        <f t="shared" si="4"/>
        <v>0</v>
      </c>
      <c r="F144" s="5">
        <f t="shared" si="5"/>
        <v>2</v>
      </c>
      <c r="J144" s="6"/>
    </row>
    <row r="145" spans="1:10" x14ac:dyDescent="0.3">
      <c r="A145" s="5">
        <v>144</v>
      </c>
      <c r="B145" s="8" t="s">
        <v>166</v>
      </c>
      <c r="C145" s="8" t="s">
        <v>207</v>
      </c>
      <c r="D145" s="5">
        <v>2</v>
      </c>
      <c r="E145" s="5">
        <f t="shared" si="4"/>
        <v>0</v>
      </c>
      <c r="F145" s="5">
        <f t="shared" si="5"/>
        <v>2</v>
      </c>
      <c r="J145" s="6"/>
    </row>
    <row r="146" spans="1:10" x14ac:dyDescent="0.3">
      <c r="A146" s="5">
        <v>145</v>
      </c>
      <c r="B146" s="8" t="s">
        <v>427</v>
      </c>
      <c r="C146" s="8" t="s">
        <v>267</v>
      </c>
      <c r="D146" s="5">
        <v>2</v>
      </c>
      <c r="E146" s="5">
        <f t="shared" si="4"/>
        <v>0</v>
      </c>
      <c r="F146" s="5">
        <f t="shared" si="5"/>
        <v>2</v>
      </c>
      <c r="J146" s="6"/>
    </row>
    <row r="147" spans="1:10" x14ac:dyDescent="0.3">
      <c r="A147" s="5">
        <v>146</v>
      </c>
      <c r="B147" s="8" t="s">
        <v>172</v>
      </c>
      <c r="C147" s="8" t="s">
        <v>345</v>
      </c>
      <c r="D147" s="5">
        <v>2</v>
      </c>
      <c r="E147" s="5">
        <f t="shared" si="4"/>
        <v>0</v>
      </c>
      <c r="F147" s="5">
        <f t="shared" si="5"/>
        <v>2</v>
      </c>
      <c r="J147" s="6"/>
    </row>
    <row r="148" spans="1:10" x14ac:dyDescent="0.3">
      <c r="A148" s="5">
        <v>147</v>
      </c>
      <c r="B148" s="8" t="s">
        <v>177</v>
      </c>
      <c r="C148" s="8" t="s">
        <v>347</v>
      </c>
      <c r="D148" s="5">
        <v>2</v>
      </c>
      <c r="E148" s="5">
        <f t="shared" si="4"/>
        <v>0</v>
      </c>
      <c r="F148" s="5">
        <f t="shared" si="5"/>
        <v>2</v>
      </c>
      <c r="J148" s="6"/>
    </row>
    <row r="149" spans="1:10" x14ac:dyDescent="0.3">
      <c r="A149" s="5">
        <v>148</v>
      </c>
      <c r="B149" s="8" t="s">
        <v>160</v>
      </c>
      <c r="C149" s="8" t="s">
        <v>343</v>
      </c>
      <c r="D149" s="5">
        <v>2</v>
      </c>
      <c r="E149" s="5">
        <f t="shared" si="4"/>
        <v>0</v>
      </c>
      <c r="F149" s="5">
        <f t="shared" si="5"/>
        <v>2</v>
      </c>
      <c r="J149" s="6"/>
    </row>
    <row r="150" spans="1:10" x14ac:dyDescent="0.3">
      <c r="A150" s="5">
        <v>149</v>
      </c>
      <c r="B150" s="8" t="s">
        <v>159</v>
      </c>
      <c r="C150" s="8" t="s">
        <v>207</v>
      </c>
      <c r="D150" s="5">
        <v>2</v>
      </c>
      <c r="E150" s="5">
        <f t="shared" si="4"/>
        <v>0</v>
      </c>
      <c r="F150" s="5">
        <f t="shared" si="5"/>
        <v>2</v>
      </c>
      <c r="J150" s="6"/>
    </row>
    <row r="151" spans="1:10" x14ac:dyDescent="0.3">
      <c r="A151" s="5">
        <v>150</v>
      </c>
      <c r="B151" s="8" t="s">
        <v>179</v>
      </c>
      <c r="C151" s="8" t="s">
        <v>345</v>
      </c>
      <c r="D151" s="5">
        <v>2</v>
      </c>
      <c r="E151" s="5">
        <f t="shared" si="4"/>
        <v>0</v>
      </c>
      <c r="F151" s="5">
        <f t="shared" si="5"/>
        <v>2</v>
      </c>
      <c r="J151" s="6"/>
    </row>
    <row r="152" spans="1:10" x14ac:dyDescent="0.3">
      <c r="A152" s="5">
        <v>151</v>
      </c>
      <c r="B152" s="8" t="s">
        <v>162</v>
      </c>
      <c r="C152" s="8" t="s">
        <v>207</v>
      </c>
      <c r="D152" s="5">
        <v>2</v>
      </c>
      <c r="E152" s="5">
        <f t="shared" si="4"/>
        <v>0</v>
      </c>
      <c r="F152" s="5">
        <f t="shared" si="5"/>
        <v>2</v>
      </c>
      <c r="J152" s="6"/>
    </row>
    <row r="153" spans="1:10" x14ac:dyDescent="0.3">
      <c r="A153" s="5">
        <v>152</v>
      </c>
      <c r="B153" s="8" t="s">
        <v>147</v>
      </c>
      <c r="C153" s="8">
        <v>230409</v>
      </c>
      <c r="D153" s="5">
        <v>2</v>
      </c>
      <c r="E153" s="5">
        <f t="shared" si="4"/>
        <v>0</v>
      </c>
      <c r="F153" s="5">
        <f t="shared" si="5"/>
        <v>2</v>
      </c>
      <c r="J153" s="6"/>
    </row>
    <row r="154" spans="1:10" x14ac:dyDescent="0.3">
      <c r="A154" s="5">
        <v>153</v>
      </c>
      <c r="B154" s="8" t="s">
        <v>51</v>
      </c>
      <c r="C154" s="8" t="s">
        <v>254</v>
      </c>
      <c r="D154" s="5">
        <v>2</v>
      </c>
      <c r="E154" s="5">
        <f t="shared" si="4"/>
        <v>0</v>
      </c>
      <c r="F154" s="5">
        <f t="shared" si="5"/>
        <v>2</v>
      </c>
      <c r="J154" s="6"/>
    </row>
    <row r="155" spans="1:10" x14ac:dyDescent="0.3">
      <c r="A155" s="5">
        <v>154</v>
      </c>
      <c r="B155" s="8" t="s">
        <v>151</v>
      </c>
      <c r="C155" s="8">
        <v>230303</v>
      </c>
      <c r="D155" s="5">
        <v>2</v>
      </c>
      <c r="E155" s="5">
        <f t="shared" si="4"/>
        <v>0</v>
      </c>
      <c r="F155" s="5">
        <f t="shared" si="5"/>
        <v>2</v>
      </c>
      <c r="J155" s="6"/>
    </row>
    <row r="156" spans="1:10" x14ac:dyDescent="0.3">
      <c r="A156" s="5">
        <v>155</v>
      </c>
      <c r="B156" s="8" t="s">
        <v>42</v>
      </c>
      <c r="C156" s="8" t="s">
        <v>245</v>
      </c>
      <c r="D156" s="5">
        <v>2</v>
      </c>
      <c r="E156" s="5">
        <f t="shared" si="4"/>
        <v>0</v>
      </c>
      <c r="F156" s="5">
        <f t="shared" si="5"/>
        <v>2</v>
      </c>
      <c r="J156" s="6"/>
    </row>
    <row r="157" spans="1:10" x14ac:dyDescent="0.3">
      <c r="A157" s="5">
        <v>156</v>
      </c>
      <c r="B157" s="8" t="s">
        <v>155</v>
      </c>
      <c r="C157" s="8">
        <v>230342</v>
      </c>
      <c r="D157" s="5">
        <v>2</v>
      </c>
      <c r="E157" s="5">
        <f t="shared" si="4"/>
        <v>0</v>
      </c>
      <c r="F157" s="5">
        <f t="shared" si="5"/>
        <v>2</v>
      </c>
      <c r="J157" s="6"/>
    </row>
    <row r="158" spans="1:10" x14ac:dyDescent="0.3">
      <c r="A158" s="5">
        <v>157</v>
      </c>
      <c r="B158" s="8" t="s">
        <v>161</v>
      </c>
      <c r="C158" s="8">
        <v>230483</v>
      </c>
      <c r="D158" s="5">
        <v>2</v>
      </c>
      <c r="E158" s="5">
        <f t="shared" si="4"/>
        <v>0</v>
      </c>
      <c r="F158" s="5">
        <f t="shared" si="5"/>
        <v>2</v>
      </c>
      <c r="J158" s="6"/>
    </row>
    <row r="159" spans="1:10" x14ac:dyDescent="0.3">
      <c r="A159" s="5">
        <v>158</v>
      </c>
      <c r="B159" s="8" t="s">
        <v>161</v>
      </c>
      <c r="C159" s="8">
        <v>230483</v>
      </c>
      <c r="D159" s="5">
        <v>2</v>
      </c>
      <c r="E159" s="5">
        <f t="shared" si="4"/>
        <v>0</v>
      </c>
      <c r="F159" s="5">
        <f t="shared" si="5"/>
        <v>2</v>
      </c>
      <c r="J159" s="6"/>
    </row>
    <row r="160" spans="1:10" x14ac:dyDescent="0.3">
      <c r="A160" s="5">
        <v>159</v>
      </c>
      <c r="B160" s="8" t="s">
        <v>79</v>
      </c>
      <c r="C160" s="8">
        <v>230052</v>
      </c>
      <c r="D160" s="5">
        <v>2</v>
      </c>
      <c r="E160" s="5">
        <f t="shared" si="4"/>
        <v>0</v>
      </c>
      <c r="F160" s="5">
        <f t="shared" si="5"/>
        <v>2</v>
      </c>
      <c r="J160" s="6"/>
    </row>
    <row r="161" spans="1:10" x14ac:dyDescent="0.3">
      <c r="A161" s="5">
        <v>160</v>
      </c>
      <c r="B161" s="8" t="s">
        <v>126</v>
      </c>
      <c r="C161" s="8" t="s">
        <v>326</v>
      </c>
      <c r="D161" s="5">
        <v>2</v>
      </c>
      <c r="E161" s="5">
        <f t="shared" si="4"/>
        <v>0</v>
      </c>
      <c r="F161" s="5">
        <f t="shared" si="5"/>
        <v>2</v>
      </c>
      <c r="J161" s="6"/>
    </row>
    <row r="162" spans="1:10" x14ac:dyDescent="0.3">
      <c r="A162" s="5">
        <v>161</v>
      </c>
      <c r="B162" s="8" t="s">
        <v>180</v>
      </c>
      <c r="C162" s="8" t="s">
        <v>348</v>
      </c>
      <c r="D162" s="5">
        <v>2</v>
      </c>
      <c r="E162" s="5">
        <f t="shared" si="4"/>
        <v>0</v>
      </c>
      <c r="F162" s="5">
        <f t="shared" si="5"/>
        <v>2</v>
      </c>
      <c r="J162" s="6"/>
    </row>
    <row r="163" spans="1:10" x14ac:dyDescent="0.3">
      <c r="A163" s="5">
        <v>162</v>
      </c>
      <c r="B163" s="8" t="s">
        <v>78</v>
      </c>
      <c r="C163" s="8" t="s">
        <v>280</v>
      </c>
      <c r="D163" s="5">
        <v>2</v>
      </c>
      <c r="E163" s="5">
        <f t="shared" si="4"/>
        <v>0</v>
      </c>
      <c r="F163" s="5">
        <f t="shared" si="5"/>
        <v>2</v>
      </c>
      <c r="J163" s="6"/>
    </row>
    <row r="164" spans="1:10" x14ac:dyDescent="0.3">
      <c r="A164" s="5">
        <v>163</v>
      </c>
      <c r="B164" s="8" t="s">
        <v>156</v>
      </c>
      <c r="C164" s="8">
        <v>230340</v>
      </c>
      <c r="D164" s="5">
        <v>2</v>
      </c>
      <c r="E164" s="5">
        <f t="shared" si="4"/>
        <v>0</v>
      </c>
      <c r="F164" s="5">
        <f t="shared" si="5"/>
        <v>2</v>
      </c>
      <c r="J164" s="6"/>
    </row>
    <row r="165" spans="1:10" x14ac:dyDescent="0.3">
      <c r="A165" s="5">
        <v>164</v>
      </c>
      <c r="B165" s="8" t="s">
        <v>157</v>
      </c>
      <c r="C165" s="8">
        <v>230339</v>
      </c>
      <c r="D165" s="5">
        <v>2</v>
      </c>
      <c r="E165" s="5">
        <f t="shared" si="4"/>
        <v>0</v>
      </c>
      <c r="F165" s="5">
        <f t="shared" si="5"/>
        <v>2</v>
      </c>
      <c r="J165" s="6"/>
    </row>
    <row r="166" spans="1:10" x14ac:dyDescent="0.3">
      <c r="A166" s="5">
        <v>165</v>
      </c>
      <c r="B166" s="8" t="s">
        <v>163</v>
      </c>
      <c r="C166" s="8" t="s">
        <v>344</v>
      </c>
      <c r="D166" s="5">
        <v>2</v>
      </c>
      <c r="E166" s="5">
        <f t="shared" si="4"/>
        <v>0</v>
      </c>
      <c r="F166" s="5">
        <f t="shared" si="5"/>
        <v>2</v>
      </c>
      <c r="J166" s="6"/>
    </row>
    <row r="167" spans="1:10" x14ac:dyDescent="0.3">
      <c r="A167" s="5">
        <v>166</v>
      </c>
      <c r="B167" s="8" t="s">
        <v>187</v>
      </c>
      <c r="C167" s="8" t="s">
        <v>341</v>
      </c>
      <c r="D167" s="5">
        <v>2</v>
      </c>
      <c r="E167" s="5">
        <f t="shared" si="4"/>
        <v>0</v>
      </c>
      <c r="F167" s="5">
        <f t="shared" si="5"/>
        <v>2</v>
      </c>
      <c r="J167" s="6"/>
    </row>
    <row r="168" spans="1:10" x14ac:dyDescent="0.3">
      <c r="A168" s="5">
        <v>167</v>
      </c>
      <c r="B168" s="8" t="s">
        <v>167</v>
      </c>
      <c r="C168" s="8">
        <v>230557</v>
      </c>
      <c r="D168" s="5">
        <v>2</v>
      </c>
      <c r="E168" s="5">
        <f t="shared" si="4"/>
        <v>0</v>
      </c>
      <c r="F168" s="5">
        <f t="shared" si="5"/>
        <v>2</v>
      </c>
      <c r="J168" s="6"/>
    </row>
    <row r="169" spans="1:10" x14ac:dyDescent="0.3">
      <c r="A169" s="5">
        <v>168</v>
      </c>
      <c r="B169" s="8" t="s">
        <v>185</v>
      </c>
      <c r="C169" s="8" t="s">
        <v>341</v>
      </c>
      <c r="D169" s="5">
        <v>2</v>
      </c>
      <c r="E169" s="5">
        <f t="shared" si="4"/>
        <v>0</v>
      </c>
      <c r="F169" s="5">
        <f t="shared" si="5"/>
        <v>2</v>
      </c>
      <c r="J169" s="6"/>
    </row>
    <row r="170" spans="1:10" x14ac:dyDescent="0.3">
      <c r="A170" s="5">
        <v>169</v>
      </c>
      <c r="B170" s="8" t="s">
        <v>73</v>
      </c>
      <c r="C170" s="8" t="s">
        <v>275</v>
      </c>
      <c r="D170" s="5">
        <v>2</v>
      </c>
      <c r="E170" s="5">
        <f t="shared" si="4"/>
        <v>0</v>
      </c>
      <c r="F170" s="5">
        <f t="shared" si="5"/>
        <v>2</v>
      </c>
      <c r="J170" s="6"/>
    </row>
    <row r="171" spans="1:10" x14ac:dyDescent="0.3">
      <c r="A171" s="5">
        <v>170</v>
      </c>
      <c r="B171" s="8" t="s">
        <v>186</v>
      </c>
      <c r="C171" s="8" t="s">
        <v>341</v>
      </c>
      <c r="D171" s="5">
        <v>2</v>
      </c>
      <c r="E171" s="5">
        <f t="shared" si="4"/>
        <v>0</v>
      </c>
      <c r="F171" s="5">
        <f t="shared" si="5"/>
        <v>2</v>
      </c>
      <c r="J171" s="6"/>
    </row>
    <row r="172" spans="1:10" x14ac:dyDescent="0.3">
      <c r="A172" s="5">
        <v>171</v>
      </c>
      <c r="B172" s="8" t="s">
        <v>175</v>
      </c>
      <c r="C172" s="8" t="s">
        <v>346</v>
      </c>
      <c r="D172" s="5">
        <v>2</v>
      </c>
      <c r="E172" s="5">
        <f t="shared" si="4"/>
        <v>0</v>
      </c>
      <c r="F172" s="5">
        <f t="shared" si="5"/>
        <v>2</v>
      </c>
      <c r="J172" s="6"/>
    </row>
    <row r="173" spans="1:10" x14ac:dyDescent="0.3">
      <c r="A173" s="5">
        <v>172</v>
      </c>
      <c r="B173" s="8" t="s">
        <v>181</v>
      </c>
      <c r="C173" s="8" t="s">
        <v>349</v>
      </c>
      <c r="D173" s="5">
        <v>2</v>
      </c>
      <c r="E173" s="5">
        <f t="shared" si="4"/>
        <v>0</v>
      </c>
      <c r="F173" s="5">
        <f t="shared" si="5"/>
        <v>2</v>
      </c>
      <c r="J173" s="6"/>
    </row>
    <row r="174" spans="1:10" x14ac:dyDescent="0.3">
      <c r="A174" s="5">
        <v>173</v>
      </c>
      <c r="B174" s="8" t="s">
        <v>168</v>
      </c>
      <c r="C174" s="8">
        <v>230573</v>
      </c>
      <c r="D174" s="5">
        <v>2</v>
      </c>
      <c r="E174" s="5">
        <f t="shared" si="4"/>
        <v>0</v>
      </c>
      <c r="F174" s="5">
        <f t="shared" si="5"/>
        <v>2</v>
      </c>
      <c r="J174" s="6"/>
    </row>
    <row r="175" spans="1:10" x14ac:dyDescent="0.3">
      <c r="A175" s="5">
        <v>174</v>
      </c>
      <c r="B175" s="8" t="s">
        <v>194</v>
      </c>
      <c r="C175" s="8" t="s">
        <v>356</v>
      </c>
      <c r="D175" s="5">
        <v>2</v>
      </c>
      <c r="E175" s="5">
        <f t="shared" si="4"/>
        <v>0</v>
      </c>
      <c r="F175" s="5">
        <f t="shared" si="5"/>
        <v>2</v>
      </c>
      <c r="J175" s="6"/>
    </row>
    <row r="176" spans="1:10" x14ac:dyDescent="0.3">
      <c r="A176" s="5">
        <v>175</v>
      </c>
      <c r="B176" s="8" t="s">
        <v>428</v>
      </c>
      <c r="C176" s="8">
        <v>230559</v>
      </c>
      <c r="D176" s="5">
        <v>2</v>
      </c>
      <c r="E176" s="5">
        <f t="shared" si="4"/>
        <v>0</v>
      </c>
      <c r="F176" s="5">
        <f t="shared" si="5"/>
        <v>2</v>
      </c>
      <c r="J176" s="6"/>
    </row>
    <row r="177" spans="1:10" x14ac:dyDescent="0.3">
      <c r="A177" s="5">
        <v>176</v>
      </c>
      <c r="B177" s="8" t="s">
        <v>158</v>
      </c>
      <c r="C177" s="8">
        <v>230611</v>
      </c>
      <c r="D177" s="5">
        <v>2</v>
      </c>
      <c r="E177" s="5">
        <f t="shared" si="4"/>
        <v>0</v>
      </c>
      <c r="F177" s="5">
        <f t="shared" si="5"/>
        <v>2</v>
      </c>
      <c r="J177" s="6"/>
    </row>
    <row r="178" spans="1:10" x14ac:dyDescent="0.3">
      <c r="A178" s="5">
        <v>177</v>
      </c>
      <c r="B178" s="8" t="s">
        <v>169</v>
      </c>
      <c r="C178" s="8">
        <v>230648</v>
      </c>
      <c r="D178" s="5">
        <v>2</v>
      </c>
      <c r="E178" s="5">
        <f t="shared" si="4"/>
        <v>0</v>
      </c>
      <c r="F178" s="5">
        <f t="shared" si="5"/>
        <v>2</v>
      </c>
      <c r="J178" s="6"/>
    </row>
    <row r="179" spans="1:10" x14ac:dyDescent="0.3">
      <c r="A179" s="5">
        <v>178</v>
      </c>
      <c r="B179" s="8" t="s">
        <v>190</v>
      </c>
      <c r="C179" s="8" t="s">
        <v>341</v>
      </c>
      <c r="D179" s="5">
        <v>2</v>
      </c>
      <c r="E179" s="5">
        <f t="shared" si="4"/>
        <v>0</v>
      </c>
      <c r="F179" s="5">
        <f t="shared" si="5"/>
        <v>2</v>
      </c>
      <c r="J179" s="6"/>
    </row>
    <row r="180" spans="1:10" x14ac:dyDescent="0.3">
      <c r="A180" s="5">
        <v>179</v>
      </c>
      <c r="B180" s="8" t="s">
        <v>190</v>
      </c>
      <c r="C180" s="8" t="s">
        <v>341</v>
      </c>
      <c r="D180" s="5">
        <v>2</v>
      </c>
      <c r="E180" s="5">
        <f t="shared" si="4"/>
        <v>0</v>
      </c>
      <c r="F180" s="5">
        <f t="shared" si="5"/>
        <v>2</v>
      </c>
      <c r="J180" s="6"/>
    </row>
    <row r="181" spans="1:10" x14ac:dyDescent="0.3">
      <c r="A181" s="5">
        <v>180</v>
      </c>
      <c r="B181" s="8" t="s">
        <v>190</v>
      </c>
      <c r="C181" s="8" t="s">
        <v>341</v>
      </c>
      <c r="D181" s="5">
        <v>2</v>
      </c>
      <c r="E181" s="5">
        <f t="shared" si="4"/>
        <v>0</v>
      </c>
      <c r="F181" s="5">
        <f t="shared" si="5"/>
        <v>2</v>
      </c>
      <c r="J181" s="6"/>
    </row>
    <row r="182" spans="1:10" x14ac:dyDescent="0.3">
      <c r="A182" s="5">
        <v>181</v>
      </c>
      <c r="B182" s="8" t="s">
        <v>144</v>
      </c>
      <c r="C182" s="8">
        <v>230164</v>
      </c>
      <c r="D182" s="5">
        <v>2</v>
      </c>
      <c r="E182" s="5">
        <f t="shared" si="4"/>
        <v>0</v>
      </c>
      <c r="F182" s="5">
        <f t="shared" si="5"/>
        <v>2</v>
      </c>
      <c r="J182" s="6"/>
    </row>
    <row r="183" spans="1:10" x14ac:dyDescent="0.3">
      <c r="A183" s="5">
        <v>182</v>
      </c>
      <c r="B183" s="8" t="s">
        <v>118</v>
      </c>
      <c r="C183" s="8" t="s">
        <v>207</v>
      </c>
      <c r="D183" s="5">
        <v>2</v>
      </c>
      <c r="E183" s="5">
        <f t="shared" si="4"/>
        <v>0</v>
      </c>
      <c r="F183" s="5">
        <f t="shared" si="5"/>
        <v>2</v>
      </c>
      <c r="J183" s="6"/>
    </row>
    <row r="184" spans="1:10" x14ac:dyDescent="0.3">
      <c r="A184" s="5">
        <v>183</v>
      </c>
      <c r="B184" s="8" t="s">
        <v>149</v>
      </c>
      <c r="C184" s="8">
        <v>230210</v>
      </c>
      <c r="D184" s="5">
        <v>2</v>
      </c>
      <c r="E184" s="5">
        <f t="shared" si="4"/>
        <v>0</v>
      </c>
      <c r="F184" s="5">
        <f t="shared" si="5"/>
        <v>2</v>
      </c>
      <c r="J184" s="6"/>
    </row>
    <row r="185" spans="1:10" x14ac:dyDescent="0.3">
      <c r="A185" s="5">
        <v>184</v>
      </c>
      <c r="B185" s="8" t="s">
        <v>182</v>
      </c>
      <c r="C185" s="8" t="s">
        <v>350</v>
      </c>
      <c r="D185" s="5">
        <v>2</v>
      </c>
      <c r="E185" s="5">
        <f t="shared" si="4"/>
        <v>0</v>
      </c>
      <c r="F185" s="5">
        <f t="shared" si="5"/>
        <v>2</v>
      </c>
      <c r="J185" s="6"/>
    </row>
    <row r="186" spans="1:10" x14ac:dyDescent="0.3">
      <c r="A186" s="5">
        <v>185</v>
      </c>
      <c r="B186" s="8" t="s">
        <v>195</v>
      </c>
      <c r="C186" s="8" t="s">
        <v>341</v>
      </c>
      <c r="D186" s="5">
        <v>2</v>
      </c>
      <c r="E186" s="5">
        <f t="shared" si="4"/>
        <v>0</v>
      </c>
      <c r="F186" s="5">
        <f t="shared" si="5"/>
        <v>2</v>
      </c>
      <c r="J186" s="6"/>
    </row>
    <row r="187" spans="1:10" x14ac:dyDescent="0.3">
      <c r="A187" s="5">
        <v>186</v>
      </c>
      <c r="B187" s="8" t="s">
        <v>178</v>
      </c>
      <c r="C187" s="8" t="s">
        <v>207</v>
      </c>
      <c r="D187" s="5">
        <v>2</v>
      </c>
      <c r="E187" s="5">
        <f t="shared" si="4"/>
        <v>0</v>
      </c>
      <c r="F187" s="5">
        <f t="shared" si="5"/>
        <v>2</v>
      </c>
      <c r="J187" s="6"/>
    </row>
    <row r="188" spans="1:10" x14ac:dyDescent="0.3">
      <c r="A188" s="5">
        <v>187</v>
      </c>
      <c r="B188" s="8" t="s">
        <v>132</v>
      </c>
      <c r="C188" s="8" t="s">
        <v>331</v>
      </c>
      <c r="D188" s="5">
        <v>2</v>
      </c>
      <c r="E188" s="5">
        <f t="shared" si="4"/>
        <v>0</v>
      </c>
      <c r="F188" s="5">
        <f t="shared" si="5"/>
        <v>2</v>
      </c>
      <c r="J188" s="6"/>
    </row>
    <row r="189" spans="1:10" x14ac:dyDescent="0.3">
      <c r="A189" s="5">
        <v>188</v>
      </c>
      <c r="B189" s="8" t="s">
        <v>164</v>
      </c>
      <c r="C189" s="8">
        <v>230511</v>
      </c>
      <c r="D189" s="5">
        <v>2</v>
      </c>
      <c r="E189" s="5">
        <f t="shared" si="4"/>
        <v>0</v>
      </c>
      <c r="F189" s="5">
        <f t="shared" si="5"/>
        <v>2</v>
      </c>
      <c r="J189" s="6"/>
    </row>
    <row r="190" spans="1:10" x14ac:dyDescent="0.3">
      <c r="A190" s="5">
        <v>189</v>
      </c>
      <c r="B190" s="8" t="s">
        <v>176</v>
      </c>
      <c r="C190" s="8">
        <v>230720</v>
      </c>
      <c r="D190" s="5">
        <v>2</v>
      </c>
      <c r="E190" s="5">
        <f t="shared" si="4"/>
        <v>0</v>
      </c>
      <c r="F190" s="5">
        <f t="shared" si="5"/>
        <v>2</v>
      </c>
      <c r="J190" s="6"/>
    </row>
    <row r="191" spans="1:10" x14ac:dyDescent="0.3">
      <c r="A191" s="5">
        <v>190</v>
      </c>
      <c r="B191" s="8" t="s">
        <v>196</v>
      </c>
      <c r="C191" s="8" t="s">
        <v>341</v>
      </c>
      <c r="D191" s="5">
        <v>2</v>
      </c>
      <c r="E191" s="5">
        <f t="shared" si="4"/>
        <v>0</v>
      </c>
      <c r="F191" s="5">
        <f t="shared" si="5"/>
        <v>2</v>
      </c>
      <c r="J191" s="6"/>
    </row>
    <row r="192" spans="1:10" x14ac:dyDescent="0.3">
      <c r="A192" s="5">
        <v>191</v>
      </c>
      <c r="B192" s="8" t="s">
        <v>202</v>
      </c>
      <c r="C192" s="8" t="s">
        <v>341</v>
      </c>
      <c r="D192" s="5">
        <v>2</v>
      </c>
      <c r="E192" s="5">
        <f t="shared" si="4"/>
        <v>0</v>
      </c>
      <c r="F192" s="5">
        <f t="shared" si="5"/>
        <v>2</v>
      </c>
      <c r="J192" s="6"/>
    </row>
    <row r="193" spans="1:10" x14ac:dyDescent="0.3">
      <c r="A193" s="5">
        <v>192</v>
      </c>
      <c r="B193" s="8" t="s">
        <v>174</v>
      </c>
      <c r="C193" s="8">
        <v>230704</v>
      </c>
      <c r="D193" s="5">
        <v>2</v>
      </c>
      <c r="E193" s="5">
        <f t="shared" si="4"/>
        <v>0</v>
      </c>
      <c r="F193" s="5">
        <f t="shared" si="5"/>
        <v>2</v>
      </c>
      <c r="J193" s="6"/>
    </row>
    <row r="194" spans="1:10" x14ac:dyDescent="0.3">
      <c r="A194" s="5">
        <v>193</v>
      </c>
      <c r="B194" s="8" t="s">
        <v>188</v>
      </c>
      <c r="C194" s="8" t="s">
        <v>207</v>
      </c>
      <c r="D194" s="5">
        <v>2</v>
      </c>
      <c r="E194" s="5">
        <f t="shared" ref="E194:E257" si="6">SUMIF($G:$G,B194,$H:$H)</f>
        <v>0</v>
      </c>
      <c r="F194" s="5">
        <f t="shared" si="5"/>
        <v>2</v>
      </c>
      <c r="J194" s="6"/>
    </row>
    <row r="195" spans="1:10" x14ac:dyDescent="0.3">
      <c r="A195" s="5">
        <v>194</v>
      </c>
      <c r="B195" s="8" t="s">
        <v>199</v>
      </c>
      <c r="C195" s="8" t="s">
        <v>341</v>
      </c>
      <c r="D195" s="5">
        <v>2</v>
      </c>
      <c r="E195" s="5">
        <f t="shared" si="6"/>
        <v>0</v>
      </c>
      <c r="F195" s="5">
        <f t="shared" ref="F195:F213" si="7">D195-E195</f>
        <v>2</v>
      </c>
      <c r="J195" s="6"/>
    </row>
    <row r="196" spans="1:10" x14ac:dyDescent="0.3">
      <c r="A196" s="5">
        <v>195</v>
      </c>
      <c r="B196" s="8" t="s">
        <v>197</v>
      </c>
      <c r="C196" s="8" t="s">
        <v>357</v>
      </c>
      <c r="D196" s="5">
        <v>2</v>
      </c>
      <c r="E196" s="5">
        <f t="shared" si="6"/>
        <v>0</v>
      </c>
      <c r="F196" s="5">
        <f t="shared" si="7"/>
        <v>2</v>
      </c>
      <c r="J196" s="6"/>
    </row>
    <row r="197" spans="1:10" x14ac:dyDescent="0.3">
      <c r="A197" s="5">
        <v>196</v>
      </c>
      <c r="B197" s="8" t="s">
        <v>184</v>
      </c>
      <c r="C197" s="8" t="s">
        <v>207</v>
      </c>
      <c r="D197" s="5">
        <v>2</v>
      </c>
      <c r="E197" s="5">
        <f t="shared" si="6"/>
        <v>0</v>
      </c>
      <c r="F197" s="5">
        <f t="shared" si="7"/>
        <v>2</v>
      </c>
      <c r="J197" s="6"/>
    </row>
    <row r="198" spans="1:10" x14ac:dyDescent="0.3">
      <c r="A198" s="5">
        <v>197</v>
      </c>
      <c r="B198" s="8" t="s">
        <v>203</v>
      </c>
      <c r="C198" s="8" t="s">
        <v>341</v>
      </c>
      <c r="D198" s="5">
        <v>2</v>
      </c>
      <c r="E198" s="5">
        <f t="shared" si="6"/>
        <v>0</v>
      </c>
      <c r="F198" s="5">
        <f t="shared" si="7"/>
        <v>2</v>
      </c>
      <c r="J198" s="6"/>
    </row>
    <row r="199" spans="1:10" x14ac:dyDescent="0.3">
      <c r="A199" s="5">
        <v>198</v>
      </c>
      <c r="B199" s="8" t="s">
        <v>133</v>
      </c>
      <c r="C199" s="8">
        <v>230787</v>
      </c>
      <c r="D199" s="5">
        <v>2</v>
      </c>
      <c r="E199" s="5">
        <f t="shared" si="6"/>
        <v>0</v>
      </c>
      <c r="F199" s="5">
        <f t="shared" si="7"/>
        <v>2</v>
      </c>
      <c r="J199" s="6"/>
    </row>
    <row r="200" spans="1:10" x14ac:dyDescent="0.3">
      <c r="A200" s="5">
        <v>199</v>
      </c>
      <c r="B200" s="8" t="s">
        <v>191</v>
      </c>
      <c r="C200" s="8" t="s">
        <v>353</v>
      </c>
      <c r="D200" s="5">
        <v>2</v>
      </c>
      <c r="E200" s="5">
        <f t="shared" si="6"/>
        <v>0</v>
      </c>
      <c r="F200" s="5">
        <f t="shared" si="7"/>
        <v>2</v>
      </c>
      <c r="J200" s="6"/>
    </row>
    <row r="201" spans="1:10" x14ac:dyDescent="0.3">
      <c r="A201" s="5">
        <v>200</v>
      </c>
      <c r="B201" s="8" t="s">
        <v>189</v>
      </c>
      <c r="C201" s="8" t="s">
        <v>352</v>
      </c>
      <c r="D201" s="5">
        <v>2</v>
      </c>
      <c r="E201" s="5">
        <f t="shared" si="6"/>
        <v>0</v>
      </c>
      <c r="F201" s="5">
        <f t="shared" si="7"/>
        <v>2</v>
      </c>
      <c r="J201" s="6"/>
    </row>
    <row r="202" spans="1:10" x14ac:dyDescent="0.3">
      <c r="A202" s="5">
        <v>201</v>
      </c>
      <c r="B202" s="8" t="s">
        <v>55</v>
      </c>
      <c r="C202" s="8">
        <v>230637</v>
      </c>
      <c r="D202" s="5">
        <v>2</v>
      </c>
      <c r="E202" s="5">
        <f t="shared" si="6"/>
        <v>0</v>
      </c>
      <c r="F202" s="5">
        <f t="shared" si="7"/>
        <v>2</v>
      </c>
      <c r="J202" s="6"/>
    </row>
    <row r="203" spans="1:10" x14ac:dyDescent="0.3">
      <c r="A203" s="5">
        <v>202</v>
      </c>
      <c r="B203" s="8" t="s">
        <v>173</v>
      </c>
      <c r="C203" s="8">
        <v>230738</v>
      </c>
      <c r="D203" s="5">
        <v>2</v>
      </c>
      <c r="E203" s="5">
        <f t="shared" si="6"/>
        <v>0</v>
      </c>
      <c r="F203" s="5">
        <f t="shared" si="7"/>
        <v>2</v>
      </c>
      <c r="J203" s="6"/>
    </row>
    <row r="204" spans="1:10" x14ac:dyDescent="0.3">
      <c r="A204" s="5">
        <v>203</v>
      </c>
      <c r="B204" s="8" t="s">
        <v>204</v>
      </c>
      <c r="C204" s="8" t="s">
        <v>341</v>
      </c>
      <c r="D204" s="5">
        <v>2</v>
      </c>
      <c r="E204" s="5">
        <f t="shared" si="6"/>
        <v>0</v>
      </c>
      <c r="F204" s="5">
        <f t="shared" si="7"/>
        <v>2</v>
      </c>
      <c r="J204" s="6"/>
    </row>
    <row r="205" spans="1:10" x14ac:dyDescent="0.3">
      <c r="A205" s="5">
        <v>204</v>
      </c>
      <c r="B205" s="8" t="s">
        <v>46</v>
      </c>
      <c r="C205" s="8" t="s">
        <v>249</v>
      </c>
      <c r="D205" s="5">
        <v>2</v>
      </c>
      <c r="E205" s="5">
        <f t="shared" si="6"/>
        <v>0</v>
      </c>
      <c r="F205" s="5">
        <f t="shared" si="7"/>
        <v>2</v>
      </c>
      <c r="J205" s="6"/>
    </row>
    <row r="206" spans="1:10" x14ac:dyDescent="0.3">
      <c r="A206" s="5">
        <v>205</v>
      </c>
      <c r="B206" s="8" t="s">
        <v>183</v>
      </c>
      <c r="C206" s="8" t="s">
        <v>351</v>
      </c>
      <c r="D206" s="5">
        <v>2</v>
      </c>
      <c r="E206" s="5">
        <f t="shared" si="6"/>
        <v>0</v>
      </c>
      <c r="F206" s="5">
        <f t="shared" si="7"/>
        <v>2</v>
      </c>
      <c r="J206" s="6"/>
    </row>
    <row r="207" spans="1:10" x14ac:dyDescent="0.3">
      <c r="A207" s="5">
        <v>206</v>
      </c>
      <c r="B207" s="8" t="s">
        <v>205</v>
      </c>
      <c r="C207" s="8" t="s">
        <v>341</v>
      </c>
      <c r="D207" s="5">
        <v>2</v>
      </c>
      <c r="E207" s="5">
        <f t="shared" si="6"/>
        <v>0</v>
      </c>
      <c r="F207" s="5">
        <f t="shared" si="7"/>
        <v>2</v>
      </c>
      <c r="J207" s="6"/>
    </row>
    <row r="208" spans="1:10" x14ac:dyDescent="0.3">
      <c r="A208" s="5">
        <v>207</v>
      </c>
      <c r="B208" s="8" t="s">
        <v>206</v>
      </c>
      <c r="C208" s="8" t="s">
        <v>341</v>
      </c>
      <c r="D208" s="5">
        <v>2</v>
      </c>
      <c r="E208" s="5">
        <f t="shared" si="6"/>
        <v>0</v>
      </c>
      <c r="F208" s="5">
        <f t="shared" si="7"/>
        <v>2</v>
      </c>
      <c r="J208" s="6"/>
    </row>
    <row r="209" spans="1:10" x14ac:dyDescent="0.3">
      <c r="A209" s="5">
        <v>208</v>
      </c>
      <c r="B209" s="8" t="s">
        <v>198</v>
      </c>
      <c r="C209" s="8" t="s">
        <v>358</v>
      </c>
      <c r="D209" s="5">
        <v>2</v>
      </c>
      <c r="E209" s="5">
        <f t="shared" si="6"/>
        <v>0</v>
      </c>
      <c r="F209" s="5">
        <f t="shared" si="7"/>
        <v>2</v>
      </c>
      <c r="J209" s="6"/>
    </row>
    <row r="210" spans="1:10" x14ac:dyDescent="0.3">
      <c r="A210" s="5">
        <v>209</v>
      </c>
      <c r="B210" s="8" t="s">
        <v>201</v>
      </c>
      <c r="C210" s="8" t="s">
        <v>535</v>
      </c>
      <c r="D210" s="5">
        <v>2</v>
      </c>
      <c r="E210" s="5">
        <f t="shared" si="6"/>
        <v>0</v>
      </c>
      <c r="F210" s="5">
        <f t="shared" si="7"/>
        <v>2</v>
      </c>
      <c r="J210" s="6"/>
    </row>
    <row r="211" spans="1:10" x14ac:dyDescent="0.3">
      <c r="A211" s="5">
        <v>210</v>
      </c>
      <c r="B211" s="8" t="s">
        <v>171</v>
      </c>
      <c r="C211" s="8">
        <v>230882</v>
      </c>
      <c r="D211" s="5">
        <v>2</v>
      </c>
      <c r="E211" s="5">
        <f t="shared" si="6"/>
        <v>0</v>
      </c>
      <c r="F211" s="5">
        <f t="shared" si="7"/>
        <v>2</v>
      </c>
      <c r="J211" s="6"/>
    </row>
    <row r="212" spans="1:10" x14ac:dyDescent="0.3">
      <c r="A212" s="5">
        <v>211</v>
      </c>
      <c r="B212" s="8" t="s">
        <v>193</v>
      </c>
      <c r="C212" s="8" t="s">
        <v>355</v>
      </c>
      <c r="D212" s="5">
        <v>2</v>
      </c>
      <c r="E212" s="5">
        <f t="shared" si="6"/>
        <v>0</v>
      </c>
      <c r="F212" s="5">
        <f t="shared" si="7"/>
        <v>2</v>
      </c>
      <c r="J212" s="6"/>
    </row>
    <row r="213" spans="1:10" x14ac:dyDescent="0.3">
      <c r="A213" s="5">
        <v>212</v>
      </c>
      <c r="B213" s="8" t="s">
        <v>192</v>
      </c>
      <c r="C213" s="8" t="s">
        <v>354</v>
      </c>
      <c r="D213" s="5">
        <v>2</v>
      </c>
      <c r="E213" s="5">
        <f t="shared" si="6"/>
        <v>0</v>
      </c>
      <c r="F213" s="5">
        <f t="shared" si="7"/>
        <v>2</v>
      </c>
      <c r="J213" s="6"/>
    </row>
    <row r="214" spans="1:10" x14ac:dyDescent="0.3">
      <c r="A214" s="5">
        <v>213</v>
      </c>
      <c r="B214" s="8" t="s">
        <v>170</v>
      </c>
      <c r="C214" s="8" t="s">
        <v>341</v>
      </c>
      <c r="D214" s="5">
        <v>2</v>
      </c>
      <c r="E214" s="5">
        <f t="shared" si="6"/>
        <v>0</v>
      </c>
      <c r="F214" s="5">
        <f t="shared" ref="F214:F277" si="8">D214-E214</f>
        <v>2</v>
      </c>
      <c r="J214" s="6"/>
    </row>
    <row r="215" spans="1:10" x14ac:dyDescent="0.3">
      <c r="A215" s="5">
        <v>214</v>
      </c>
      <c r="B215" s="8" t="s">
        <v>429</v>
      </c>
      <c r="C215" s="8" t="s">
        <v>341</v>
      </c>
      <c r="D215" s="5">
        <v>2</v>
      </c>
      <c r="E215" s="5">
        <f t="shared" si="6"/>
        <v>0</v>
      </c>
      <c r="F215" s="5">
        <f t="shared" si="8"/>
        <v>2</v>
      </c>
      <c r="J215" s="6"/>
    </row>
    <row r="216" spans="1:10" x14ac:dyDescent="0.3">
      <c r="A216" s="5">
        <v>215</v>
      </c>
      <c r="B216" s="8" t="s">
        <v>430</v>
      </c>
      <c r="C216" s="8" t="s">
        <v>341</v>
      </c>
      <c r="D216" s="5">
        <v>2</v>
      </c>
      <c r="E216" s="5">
        <f t="shared" si="6"/>
        <v>0</v>
      </c>
      <c r="F216" s="5">
        <f t="shared" si="8"/>
        <v>2</v>
      </c>
      <c r="J216" s="6"/>
    </row>
    <row r="217" spans="1:10" x14ac:dyDescent="0.3">
      <c r="A217" s="5">
        <v>216</v>
      </c>
      <c r="B217" s="8" t="s">
        <v>431</v>
      </c>
      <c r="C217" s="8">
        <v>230304</v>
      </c>
      <c r="D217" s="5">
        <v>2</v>
      </c>
      <c r="E217" s="5">
        <f t="shared" si="6"/>
        <v>0</v>
      </c>
      <c r="F217" s="5">
        <f t="shared" si="8"/>
        <v>2</v>
      </c>
      <c r="J217" s="6"/>
    </row>
    <row r="218" spans="1:10" x14ac:dyDescent="0.3">
      <c r="A218" s="5">
        <v>217</v>
      </c>
      <c r="B218" s="8" t="s">
        <v>432</v>
      </c>
      <c r="C218" s="8" t="s">
        <v>341</v>
      </c>
      <c r="D218" s="5">
        <v>2</v>
      </c>
      <c r="E218" s="5">
        <f t="shared" si="6"/>
        <v>0</v>
      </c>
      <c r="F218" s="5">
        <f t="shared" si="8"/>
        <v>2</v>
      </c>
      <c r="J218" s="6"/>
    </row>
    <row r="219" spans="1:10" x14ac:dyDescent="0.3">
      <c r="A219" s="5">
        <v>218</v>
      </c>
      <c r="B219" s="8" t="s">
        <v>433</v>
      </c>
      <c r="C219" s="8" t="s">
        <v>341</v>
      </c>
      <c r="D219" s="5">
        <v>2</v>
      </c>
      <c r="E219" s="5">
        <f t="shared" si="6"/>
        <v>0</v>
      </c>
      <c r="F219" s="5">
        <f t="shared" si="8"/>
        <v>2</v>
      </c>
      <c r="J219" s="6"/>
    </row>
    <row r="220" spans="1:10" x14ac:dyDescent="0.3">
      <c r="A220" s="5">
        <v>219</v>
      </c>
      <c r="B220" s="8" t="s">
        <v>434</v>
      </c>
      <c r="C220" s="8" t="s">
        <v>536</v>
      </c>
      <c r="D220" s="5">
        <v>2</v>
      </c>
      <c r="E220" s="5">
        <f t="shared" si="6"/>
        <v>0</v>
      </c>
      <c r="F220" s="5">
        <f t="shared" si="8"/>
        <v>2</v>
      </c>
      <c r="J220" s="6"/>
    </row>
    <row r="221" spans="1:10" x14ac:dyDescent="0.3">
      <c r="A221" s="5">
        <v>220</v>
      </c>
      <c r="B221" s="8" t="s">
        <v>435</v>
      </c>
      <c r="C221" s="8" t="s">
        <v>537</v>
      </c>
      <c r="D221" s="5">
        <v>2</v>
      </c>
      <c r="E221" s="5">
        <f t="shared" si="6"/>
        <v>0</v>
      </c>
      <c r="F221" s="5">
        <f t="shared" si="8"/>
        <v>2</v>
      </c>
      <c r="J221" s="6"/>
    </row>
    <row r="222" spans="1:10" x14ac:dyDescent="0.3">
      <c r="A222" s="5">
        <v>221</v>
      </c>
      <c r="B222" s="8" t="s">
        <v>436</v>
      </c>
      <c r="C222" s="8">
        <v>2023816</v>
      </c>
      <c r="D222" s="5">
        <v>2</v>
      </c>
      <c r="E222" s="5">
        <f t="shared" si="6"/>
        <v>0</v>
      </c>
      <c r="F222" s="5">
        <f t="shared" si="8"/>
        <v>2</v>
      </c>
      <c r="J222" s="6"/>
    </row>
    <row r="223" spans="1:10" x14ac:dyDescent="0.3">
      <c r="A223" s="5">
        <v>222</v>
      </c>
      <c r="B223" s="8" t="s">
        <v>437</v>
      </c>
      <c r="C223" s="8" t="s">
        <v>538</v>
      </c>
      <c r="D223" s="5">
        <v>2</v>
      </c>
      <c r="E223" s="5">
        <f t="shared" si="6"/>
        <v>0</v>
      </c>
      <c r="F223" s="5">
        <f t="shared" si="8"/>
        <v>2</v>
      </c>
      <c r="J223" s="6"/>
    </row>
    <row r="224" spans="1:10" x14ac:dyDescent="0.3">
      <c r="A224" s="5">
        <v>223</v>
      </c>
      <c r="B224" s="8" t="s">
        <v>438</v>
      </c>
      <c r="C224" s="8" t="s">
        <v>341</v>
      </c>
      <c r="D224" s="5">
        <v>2</v>
      </c>
      <c r="E224" s="5">
        <f t="shared" si="6"/>
        <v>0</v>
      </c>
      <c r="F224" s="5">
        <f t="shared" si="8"/>
        <v>2</v>
      </c>
      <c r="J224" s="6"/>
    </row>
    <row r="225" spans="1:10" x14ac:dyDescent="0.3">
      <c r="A225" s="5">
        <v>224</v>
      </c>
      <c r="B225" s="8" t="s">
        <v>439</v>
      </c>
      <c r="C225" s="8">
        <v>230811</v>
      </c>
      <c r="D225" s="5">
        <v>2</v>
      </c>
      <c r="E225" s="5">
        <f t="shared" si="6"/>
        <v>0</v>
      </c>
      <c r="F225" s="5">
        <f t="shared" si="8"/>
        <v>2</v>
      </c>
      <c r="J225" s="6"/>
    </row>
    <row r="226" spans="1:10" x14ac:dyDescent="0.3">
      <c r="A226" s="5">
        <v>225</v>
      </c>
      <c r="B226" s="8" t="s">
        <v>440</v>
      </c>
      <c r="C226" s="8" t="s">
        <v>539</v>
      </c>
      <c r="D226" s="5">
        <v>2</v>
      </c>
      <c r="E226" s="5">
        <f t="shared" si="6"/>
        <v>0</v>
      </c>
      <c r="F226" s="5">
        <f t="shared" si="8"/>
        <v>2</v>
      </c>
      <c r="J226" s="6"/>
    </row>
    <row r="227" spans="1:10" x14ac:dyDescent="0.3">
      <c r="A227" s="5">
        <v>226</v>
      </c>
      <c r="B227" s="8" t="s">
        <v>441</v>
      </c>
      <c r="C227" s="8" t="s">
        <v>540</v>
      </c>
      <c r="D227" s="5">
        <v>2</v>
      </c>
      <c r="E227" s="5">
        <f t="shared" si="6"/>
        <v>0</v>
      </c>
      <c r="F227" s="5">
        <f t="shared" si="8"/>
        <v>2</v>
      </c>
      <c r="J227" s="6"/>
    </row>
    <row r="228" spans="1:10" x14ac:dyDescent="0.3">
      <c r="A228" s="5">
        <v>227</v>
      </c>
      <c r="B228" s="8" t="s">
        <v>442</v>
      </c>
      <c r="C228" s="8">
        <v>230718</v>
      </c>
      <c r="D228" s="5">
        <v>2</v>
      </c>
      <c r="E228" s="5">
        <f t="shared" si="6"/>
        <v>0</v>
      </c>
      <c r="F228" s="5">
        <f t="shared" si="8"/>
        <v>2</v>
      </c>
      <c r="J228" s="6"/>
    </row>
    <row r="229" spans="1:10" x14ac:dyDescent="0.3">
      <c r="A229" s="5">
        <v>228</v>
      </c>
      <c r="B229" s="8" t="s">
        <v>443</v>
      </c>
      <c r="C229" s="8" t="s">
        <v>541</v>
      </c>
      <c r="D229" s="5">
        <v>2</v>
      </c>
      <c r="E229" s="5">
        <f t="shared" si="6"/>
        <v>0</v>
      </c>
      <c r="F229" s="5">
        <f t="shared" si="8"/>
        <v>2</v>
      </c>
      <c r="J229" s="6"/>
    </row>
    <row r="230" spans="1:10" x14ac:dyDescent="0.3">
      <c r="A230" s="5">
        <v>229</v>
      </c>
      <c r="B230" s="8" t="s">
        <v>444</v>
      </c>
      <c r="C230" s="8">
        <v>240137</v>
      </c>
      <c r="D230" s="5">
        <v>2</v>
      </c>
      <c r="E230" s="5">
        <f t="shared" si="6"/>
        <v>0</v>
      </c>
      <c r="F230" s="5">
        <f t="shared" si="8"/>
        <v>2</v>
      </c>
      <c r="J230" s="6"/>
    </row>
    <row r="231" spans="1:10" x14ac:dyDescent="0.3">
      <c r="A231" s="5">
        <v>230</v>
      </c>
      <c r="B231" s="8" t="s">
        <v>445</v>
      </c>
      <c r="C231" s="8" t="s">
        <v>341</v>
      </c>
      <c r="D231" s="5">
        <v>2</v>
      </c>
      <c r="E231" s="5">
        <f t="shared" si="6"/>
        <v>0</v>
      </c>
      <c r="F231" s="5">
        <f t="shared" si="8"/>
        <v>2</v>
      </c>
    </row>
    <row r="232" spans="1:10" x14ac:dyDescent="0.3">
      <c r="A232" s="5">
        <v>231</v>
      </c>
      <c r="B232" s="8" t="s">
        <v>165</v>
      </c>
      <c r="C232" s="8">
        <v>230723</v>
      </c>
      <c r="D232" s="5">
        <v>2</v>
      </c>
      <c r="E232" s="5">
        <f t="shared" si="6"/>
        <v>0</v>
      </c>
      <c r="F232" s="5">
        <f t="shared" si="8"/>
        <v>2</v>
      </c>
    </row>
    <row r="233" spans="1:10" x14ac:dyDescent="0.3">
      <c r="A233" s="5">
        <v>232</v>
      </c>
      <c r="B233" s="8" t="s">
        <v>446</v>
      </c>
      <c r="C233" s="8" t="s">
        <v>542</v>
      </c>
      <c r="D233" s="5">
        <v>2</v>
      </c>
      <c r="E233" s="5">
        <f t="shared" si="6"/>
        <v>0</v>
      </c>
      <c r="F233" s="5">
        <f t="shared" si="8"/>
        <v>2</v>
      </c>
    </row>
    <row r="234" spans="1:10" x14ac:dyDescent="0.3">
      <c r="A234" s="5">
        <v>233</v>
      </c>
      <c r="B234" s="8" t="s">
        <v>447</v>
      </c>
      <c r="C234" s="8" t="s">
        <v>543</v>
      </c>
      <c r="D234" s="5">
        <v>2</v>
      </c>
      <c r="E234" s="5">
        <f t="shared" si="6"/>
        <v>0</v>
      </c>
      <c r="F234" s="5">
        <f t="shared" si="8"/>
        <v>2</v>
      </c>
    </row>
    <row r="235" spans="1:10" x14ac:dyDescent="0.3">
      <c r="A235" s="5">
        <v>234</v>
      </c>
      <c r="B235" s="8" t="s">
        <v>448</v>
      </c>
      <c r="C235" s="8">
        <v>230613</v>
      </c>
      <c r="D235" s="5">
        <v>2</v>
      </c>
      <c r="E235" s="5">
        <f t="shared" si="6"/>
        <v>0</v>
      </c>
      <c r="F235" s="5">
        <f t="shared" si="8"/>
        <v>2</v>
      </c>
    </row>
    <row r="236" spans="1:10" x14ac:dyDescent="0.3">
      <c r="A236" s="5">
        <v>235</v>
      </c>
      <c r="B236" s="8" t="s">
        <v>449</v>
      </c>
      <c r="C236" s="8">
        <v>230615</v>
      </c>
      <c r="D236" s="5">
        <v>2</v>
      </c>
      <c r="E236" s="5">
        <f t="shared" si="6"/>
        <v>0</v>
      </c>
      <c r="F236" s="5">
        <f t="shared" si="8"/>
        <v>2</v>
      </c>
    </row>
    <row r="237" spans="1:10" x14ac:dyDescent="0.3">
      <c r="A237" s="5">
        <v>236</v>
      </c>
      <c r="B237" s="8" t="s">
        <v>450</v>
      </c>
      <c r="C237" s="8">
        <v>230594</v>
      </c>
      <c r="D237" s="5">
        <v>2</v>
      </c>
      <c r="E237" s="5">
        <f t="shared" si="6"/>
        <v>0</v>
      </c>
      <c r="F237" s="5">
        <f t="shared" si="8"/>
        <v>2</v>
      </c>
    </row>
    <row r="238" spans="1:10" x14ac:dyDescent="0.3">
      <c r="A238" s="5">
        <v>237</v>
      </c>
      <c r="B238" s="8" t="s">
        <v>451</v>
      </c>
      <c r="C238" s="8" t="s">
        <v>544</v>
      </c>
      <c r="D238" s="5">
        <v>2</v>
      </c>
      <c r="E238" s="5">
        <f t="shared" si="6"/>
        <v>0</v>
      </c>
      <c r="F238" s="5">
        <f t="shared" si="8"/>
        <v>2</v>
      </c>
    </row>
    <row r="239" spans="1:10" x14ac:dyDescent="0.3">
      <c r="A239" s="5">
        <v>238</v>
      </c>
      <c r="B239" s="8" t="s">
        <v>452</v>
      </c>
      <c r="C239" s="8">
        <v>230892</v>
      </c>
      <c r="D239" s="5">
        <v>2</v>
      </c>
      <c r="E239" s="5">
        <f t="shared" si="6"/>
        <v>0</v>
      </c>
      <c r="F239" s="5">
        <f t="shared" si="8"/>
        <v>2</v>
      </c>
    </row>
    <row r="240" spans="1:10" x14ac:dyDescent="0.3">
      <c r="A240" s="5">
        <v>239</v>
      </c>
      <c r="B240" s="8" t="s">
        <v>453</v>
      </c>
      <c r="C240" s="8" t="s">
        <v>545</v>
      </c>
      <c r="D240" s="5">
        <v>2</v>
      </c>
      <c r="E240" s="5">
        <f t="shared" si="6"/>
        <v>0</v>
      </c>
      <c r="F240" s="5">
        <f t="shared" si="8"/>
        <v>2</v>
      </c>
    </row>
    <row r="241" spans="1:6" x14ac:dyDescent="0.3">
      <c r="A241" s="5">
        <v>240</v>
      </c>
      <c r="B241" s="8" t="s">
        <v>454</v>
      </c>
      <c r="C241" s="8" t="s">
        <v>546</v>
      </c>
      <c r="D241" s="5">
        <v>2</v>
      </c>
      <c r="E241" s="5">
        <f t="shared" si="6"/>
        <v>0</v>
      </c>
      <c r="F241" s="5">
        <f t="shared" si="8"/>
        <v>2</v>
      </c>
    </row>
    <row r="242" spans="1:6" x14ac:dyDescent="0.3">
      <c r="A242" s="5">
        <v>241</v>
      </c>
      <c r="B242" s="8" t="s">
        <v>455</v>
      </c>
      <c r="C242" s="8">
        <v>230929</v>
      </c>
      <c r="D242" s="5">
        <v>2</v>
      </c>
      <c r="E242" s="5">
        <f t="shared" si="6"/>
        <v>0</v>
      </c>
      <c r="F242" s="5">
        <f t="shared" si="8"/>
        <v>2</v>
      </c>
    </row>
    <row r="243" spans="1:6" x14ac:dyDescent="0.3">
      <c r="A243" s="5">
        <v>242</v>
      </c>
      <c r="B243" s="8" t="s">
        <v>200</v>
      </c>
      <c r="C243" s="8">
        <v>240193</v>
      </c>
      <c r="D243" s="5">
        <v>2</v>
      </c>
      <c r="E243" s="5">
        <f t="shared" si="6"/>
        <v>0</v>
      </c>
      <c r="F243" s="5">
        <f t="shared" si="8"/>
        <v>2</v>
      </c>
    </row>
    <row r="244" spans="1:6" x14ac:dyDescent="0.3">
      <c r="A244" s="5">
        <v>243</v>
      </c>
      <c r="B244" s="8" t="s">
        <v>456</v>
      </c>
      <c r="C244" s="8" t="s">
        <v>341</v>
      </c>
      <c r="D244" s="5">
        <v>2</v>
      </c>
      <c r="E244" s="5">
        <f t="shared" si="6"/>
        <v>0</v>
      </c>
      <c r="F244" s="5">
        <f t="shared" si="8"/>
        <v>2</v>
      </c>
    </row>
    <row r="245" spans="1:6" x14ac:dyDescent="0.3">
      <c r="A245" s="5">
        <v>244</v>
      </c>
      <c r="B245" s="8" t="s">
        <v>457</v>
      </c>
      <c r="C245" s="8">
        <v>240244</v>
      </c>
      <c r="D245" s="5">
        <v>2</v>
      </c>
      <c r="E245" s="5">
        <f t="shared" si="6"/>
        <v>0</v>
      </c>
      <c r="F245" s="5">
        <f t="shared" si="8"/>
        <v>2</v>
      </c>
    </row>
    <row r="246" spans="1:6" x14ac:dyDescent="0.3">
      <c r="A246" s="5">
        <v>245</v>
      </c>
      <c r="B246" s="8" t="s">
        <v>458</v>
      </c>
      <c r="C246" s="8">
        <v>230877</v>
      </c>
      <c r="D246" s="5">
        <v>2</v>
      </c>
      <c r="E246" s="5">
        <f t="shared" si="6"/>
        <v>0</v>
      </c>
      <c r="F246" s="5">
        <f t="shared" si="8"/>
        <v>2</v>
      </c>
    </row>
    <row r="247" spans="1:6" x14ac:dyDescent="0.3">
      <c r="A247" s="5">
        <v>246</v>
      </c>
      <c r="B247" s="8" t="s">
        <v>459</v>
      </c>
      <c r="C247" s="8" t="s">
        <v>547</v>
      </c>
      <c r="D247" s="5">
        <v>2</v>
      </c>
      <c r="E247" s="5">
        <f t="shared" si="6"/>
        <v>0</v>
      </c>
      <c r="F247" s="5">
        <f t="shared" si="8"/>
        <v>2</v>
      </c>
    </row>
    <row r="248" spans="1:6" x14ac:dyDescent="0.3">
      <c r="A248" s="5">
        <v>247</v>
      </c>
      <c r="B248" s="8" t="s">
        <v>460</v>
      </c>
      <c r="C248" s="8" t="s">
        <v>548</v>
      </c>
      <c r="D248" s="5">
        <v>2</v>
      </c>
      <c r="E248" s="5">
        <f t="shared" si="6"/>
        <v>0</v>
      </c>
      <c r="F248" s="5">
        <f t="shared" si="8"/>
        <v>2</v>
      </c>
    </row>
    <row r="249" spans="1:6" x14ac:dyDescent="0.3">
      <c r="A249" s="5">
        <v>248</v>
      </c>
      <c r="B249" s="8" t="s">
        <v>461</v>
      </c>
      <c r="C249" s="8" t="s">
        <v>341</v>
      </c>
      <c r="D249" s="5">
        <v>2</v>
      </c>
      <c r="E249" s="5">
        <f t="shared" si="6"/>
        <v>0</v>
      </c>
      <c r="F249" s="5">
        <f t="shared" si="8"/>
        <v>2</v>
      </c>
    </row>
    <row r="250" spans="1:6" x14ac:dyDescent="0.3">
      <c r="A250" s="5">
        <v>249</v>
      </c>
      <c r="B250" s="8" t="s">
        <v>462</v>
      </c>
      <c r="C250" s="8" t="s">
        <v>549</v>
      </c>
      <c r="D250" s="5">
        <v>2</v>
      </c>
      <c r="E250" s="5">
        <f t="shared" si="6"/>
        <v>0</v>
      </c>
      <c r="F250" s="5">
        <f t="shared" si="8"/>
        <v>2</v>
      </c>
    </row>
    <row r="251" spans="1:6" x14ac:dyDescent="0.3">
      <c r="A251" s="5">
        <v>250</v>
      </c>
      <c r="B251" s="8" t="s">
        <v>463</v>
      </c>
      <c r="C251" s="8" t="s">
        <v>550</v>
      </c>
      <c r="D251" s="5">
        <v>2</v>
      </c>
      <c r="E251" s="5">
        <f t="shared" si="6"/>
        <v>0</v>
      </c>
      <c r="F251" s="5">
        <f t="shared" si="8"/>
        <v>2</v>
      </c>
    </row>
    <row r="252" spans="1:6" x14ac:dyDescent="0.3">
      <c r="A252" s="5">
        <v>251</v>
      </c>
      <c r="B252" s="8" t="s">
        <v>464</v>
      </c>
      <c r="C252" s="8" t="s">
        <v>551</v>
      </c>
      <c r="D252" s="5">
        <v>2</v>
      </c>
      <c r="E252" s="5">
        <f t="shared" si="6"/>
        <v>0</v>
      </c>
      <c r="F252" s="5">
        <f t="shared" si="8"/>
        <v>2</v>
      </c>
    </row>
    <row r="253" spans="1:6" x14ac:dyDescent="0.3">
      <c r="A253" s="5">
        <v>252</v>
      </c>
      <c r="B253" s="8" t="s">
        <v>465</v>
      </c>
      <c r="C253" s="8" t="s">
        <v>552</v>
      </c>
      <c r="D253" s="5">
        <v>2</v>
      </c>
      <c r="E253" s="5">
        <f t="shared" si="6"/>
        <v>0</v>
      </c>
      <c r="F253" s="5">
        <f t="shared" si="8"/>
        <v>2</v>
      </c>
    </row>
    <row r="254" spans="1:6" x14ac:dyDescent="0.3">
      <c r="A254" s="5">
        <v>253</v>
      </c>
      <c r="B254" s="8" t="s">
        <v>466</v>
      </c>
      <c r="C254" s="8" t="s">
        <v>553</v>
      </c>
      <c r="D254" s="5">
        <v>2</v>
      </c>
      <c r="E254" s="5">
        <f t="shared" si="6"/>
        <v>0</v>
      </c>
      <c r="F254" s="5">
        <f t="shared" si="8"/>
        <v>2</v>
      </c>
    </row>
    <row r="255" spans="1:6" x14ac:dyDescent="0.3">
      <c r="A255" s="5">
        <v>254</v>
      </c>
      <c r="B255" s="8" t="s">
        <v>467</v>
      </c>
      <c r="C255" s="8">
        <v>240429</v>
      </c>
      <c r="D255" s="5">
        <v>2</v>
      </c>
      <c r="E255" s="5">
        <f t="shared" si="6"/>
        <v>0</v>
      </c>
      <c r="F255" s="5">
        <f t="shared" si="8"/>
        <v>2</v>
      </c>
    </row>
    <row r="256" spans="1:6" x14ac:dyDescent="0.3">
      <c r="A256" s="5">
        <v>255</v>
      </c>
      <c r="B256" s="8" t="s">
        <v>468</v>
      </c>
      <c r="C256" s="8">
        <v>240056</v>
      </c>
      <c r="D256" s="5">
        <v>2</v>
      </c>
      <c r="E256" s="5">
        <f t="shared" si="6"/>
        <v>0</v>
      </c>
      <c r="F256" s="5">
        <f t="shared" si="8"/>
        <v>2</v>
      </c>
    </row>
    <row r="257" spans="1:6" x14ac:dyDescent="0.3">
      <c r="A257" s="5">
        <v>256</v>
      </c>
      <c r="B257" s="8" t="s">
        <v>469</v>
      </c>
      <c r="C257" s="8" t="s">
        <v>554</v>
      </c>
      <c r="D257" s="5">
        <v>2</v>
      </c>
      <c r="E257" s="5">
        <f t="shared" si="6"/>
        <v>0</v>
      </c>
      <c r="F257" s="5">
        <f t="shared" si="8"/>
        <v>2</v>
      </c>
    </row>
    <row r="258" spans="1:6" x14ac:dyDescent="0.3">
      <c r="A258" s="5">
        <v>257</v>
      </c>
      <c r="B258" s="8" t="s">
        <v>470</v>
      </c>
      <c r="C258" s="8">
        <v>240135</v>
      </c>
      <c r="D258" s="5">
        <v>2</v>
      </c>
      <c r="E258" s="5">
        <f t="shared" ref="E258:E322" si="9">SUMIF($G:$G,B258,$H:$H)</f>
        <v>0</v>
      </c>
      <c r="F258" s="5">
        <f t="shared" si="8"/>
        <v>2</v>
      </c>
    </row>
    <row r="259" spans="1:6" x14ac:dyDescent="0.3">
      <c r="A259" s="5">
        <v>258</v>
      </c>
      <c r="B259" s="8" t="s">
        <v>470</v>
      </c>
      <c r="C259" s="8">
        <v>240135</v>
      </c>
      <c r="D259" s="5">
        <v>2</v>
      </c>
      <c r="E259" s="5">
        <f t="shared" si="9"/>
        <v>0</v>
      </c>
      <c r="F259" s="5">
        <f t="shared" si="8"/>
        <v>2</v>
      </c>
    </row>
    <row r="260" spans="1:6" x14ac:dyDescent="0.3">
      <c r="A260" s="5">
        <v>259</v>
      </c>
      <c r="B260" s="8" t="s">
        <v>471</v>
      </c>
      <c r="C260" s="8">
        <v>240373</v>
      </c>
      <c r="D260" s="5">
        <v>2</v>
      </c>
      <c r="E260" s="5">
        <f t="shared" si="9"/>
        <v>0</v>
      </c>
      <c r="F260" s="5">
        <f t="shared" si="8"/>
        <v>2</v>
      </c>
    </row>
    <row r="261" spans="1:6" x14ac:dyDescent="0.3">
      <c r="A261" s="5">
        <v>260</v>
      </c>
      <c r="B261" s="8" t="s">
        <v>472</v>
      </c>
      <c r="C261" s="8">
        <v>240339</v>
      </c>
      <c r="D261" s="5">
        <v>2</v>
      </c>
      <c r="E261" s="5">
        <f t="shared" si="9"/>
        <v>0</v>
      </c>
      <c r="F261" s="5">
        <f t="shared" si="8"/>
        <v>2</v>
      </c>
    </row>
    <row r="262" spans="1:6" x14ac:dyDescent="0.3">
      <c r="A262" s="5">
        <v>261</v>
      </c>
      <c r="B262" s="8" t="s">
        <v>473</v>
      </c>
      <c r="C262" s="8">
        <v>240476</v>
      </c>
      <c r="D262" s="5">
        <v>2</v>
      </c>
      <c r="E262" s="5">
        <f t="shared" si="9"/>
        <v>0</v>
      </c>
      <c r="F262" s="5">
        <f t="shared" si="8"/>
        <v>2</v>
      </c>
    </row>
    <row r="263" spans="1:6" x14ac:dyDescent="0.3">
      <c r="A263" s="5">
        <v>262</v>
      </c>
      <c r="B263" s="8" t="s">
        <v>474</v>
      </c>
      <c r="C263" s="8">
        <v>240475</v>
      </c>
      <c r="D263" s="5">
        <v>2</v>
      </c>
      <c r="E263" s="5">
        <f t="shared" si="9"/>
        <v>0</v>
      </c>
      <c r="F263" s="5">
        <f t="shared" si="8"/>
        <v>2</v>
      </c>
    </row>
    <row r="264" spans="1:6" x14ac:dyDescent="0.3">
      <c r="A264" s="5">
        <v>263</v>
      </c>
      <c r="B264" s="8" t="s">
        <v>475</v>
      </c>
      <c r="C264" s="8" t="s">
        <v>555</v>
      </c>
      <c r="D264" s="5">
        <v>2</v>
      </c>
      <c r="E264" s="5">
        <f t="shared" si="9"/>
        <v>0</v>
      </c>
      <c r="F264" s="5">
        <f t="shared" si="8"/>
        <v>2</v>
      </c>
    </row>
    <row r="265" spans="1:6" x14ac:dyDescent="0.3">
      <c r="A265" s="5">
        <v>264</v>
      </c>
      <c r="B265" s="8" t="s">
        <v>476</v>
      </c>
      <c r="C265" s="8" t="s">
        <v>556</v>
      </c>
      <c r="D265" s="5">
        <v>2</v>
      </c>
      <c r="E265" s="5">
        <f t="shared" si="9"/>
        <v>0</v>
      </c>
      <c r="F265" s="5">
        <f t="shared" si="8"/>
        <v>2</v>
      </c>
    </row>
    <row r="266" spans="1:6" x14ac:dyDescent="0.3">
      <c r="A266" s="5">
        <v>265</v>
      </c>
      <c r="B266" s="8" t="s">
        <v>477</v>
      </c>
      <c r="C266" s="8" t="s">
        <v>557</v>
      </c>
      <c r="D266" s="5">
        <v>2</v>
      </c>
      <c r="E266" s="5">
        <f t="shared" si="9"/>
        <v>0</v>
      </c>
      <c r="F266" s="5">
        <f t="shared" si="8"/>
        <v>2</v>
      </c>
    </row>
    <row r="267" spans="1:6" x14ac:dyDescent="0.3">
      <c r="A267" s="5">
        <v>266</v>
      </c>
      <c r="B267" s="8" t="s">
        <v>478</v>
      </c>
      <c r="C267" s="8">
        <v>240477</v>
      </c>
      <c r="D267" s="5">
        <v>2</v>
      </c>
      <c r="E267" s="5">
        <f t="shared" si="9"/>
        <v>0</v>
      </c>
      <c r="F267" s="5">
        <f t="shared" si="8"/>
        <v>2</v>
      </c>
    </row>
    <row r="268" spans="1:6" x14ac:dyDescent="0.3">
      <c r="A268" s="5">
        <v>267</v>
      </c>
      <c r="B268" s="8" t="s">
        <v>479</v>
      </c>
      <c r="C268" s="8" t="s">
        <v>558</v>
      </c>
      <c r="D268" s="5">
        <v>2</v>
      </c>
      <c r="E268" s="5">
        <f t="shared" si="9"/>
        <v>0</v>
      </c>
      <c r="F268" s="5">
        <f t="shared" si="8"/>
        <v>2</v>
      </c>
    </row>
    <row r="269" spans="1:6" x14ac:dyDescent="0.3">
      <c r="A269" s="5">
        <v>268</v>
      </c>
      <c r="B269" s="8" t="s">
        <v>480</v>
      </c>
      <c r="C269" s="8" t="s">
        <v>559</v>
      </c>
      <c r="D269" s="5">
        <v>2</v>
      </c>
      <c r="E269" s="5">
        <f t="shared" si="9"/>
        <v>0</v>
      </c>
      <c r="F269" s="5">
        <f t="shared" si="8"/>
        <v>2</v>
      </c>
    </row>
    <row r="270" spans="1:6" x14ac:dyDescent="0.3">
      <c r="A270" s="5">
        <v>269</v>
      </c>
      <c r="B270" s="8" t="s">
        <v>481</v>
      </c>
      <c r="C270" s="8">
        <v>240432</v>
      </c>
      <c r="D270" s="5">
        <v>2</v>
      </c>
      <c r="E270" s="5">
        <f t="shared" si="9"/>
        <v>0</v>
      </c>
      <c r="F270" s="5">
        <f t="shared" si="8"/>
        <v>2</v>
      </c>
    </row>
    <row r="271" spans="1:6" x14ac:dyDescent="0.3">
      <c r="A271" s="5">
        <v>270</v>
      </c>
      <c r="B271" s="8" t="s">
        <v>482</v>
      </c>
      <c r="C271" s="8" t="s">
        <v>341</v>
      </c>
      <c r="D271" s="5">
        <v>2</v>
      </c>
      <c r="E271" s="5">
        <f t="shared" si="9"/>
        <v>0</v>
      </c>
      <c r="F271" s="5">
        <f t="shared" si="8"/>
        <v>2</v>
      </c>
    </row>
    <row r="272" spans="1:6" x14ac:dyDescent="0.3">
      <c r="A272" s="5">
        <v>271</v>
      </c>
      <c r="B272" s="8" t="s">
        <v>483</v>
      </c>
      <c r="C272" s="8" t="s">
        <v>560</v>
      </c>
      <c r="D272" s="5">
        <v>2</v>
      </c>
      <c r="E272" s="5">
        <f t="shared" si="9"/>
        <v>0</v>
      </c>
      <c r="F272" s="5">
        <f t="shared" si="8"/>
        <v>2</v>
      </c>
    </row>
    <row r="273" spans="1:6" x14ac:dyDescent="0.3">
      <c r="A273" s="5">
        <v>272</v>
      </c>
      <c r="B273" s="8" t="s">
        <v>484</v>
      </c>
      <c r="C273" s="8" t="s">
        <v>561</v>
      </c>
      <c r="D273" s="5">
        <v>2</v>
      </c>
      <c r="E273" s="5">
        <f t="shared" si="9"/>
        <v>0</v>
      </c>
      <c r="F273" s="5">
        <f t="shared" si="8"/>
        <v>2</v>
      </c>
    </row>
    <row r="274" spans="1:6" x14ac:dyDescent="0.3">
      <c r="A274" s="5">
        <v>273</v>
      </c>
      <c r="B274" s="8" t="s">
        <v>485</v>
      </c>
      <c r="C274" s="8" t="s">
        <v>562</v>
      </c>
      <c r="D274" s="5">
        <v>2</v>
      </c>
      <c r="E274" s="5">
        <f t="shared" si="9"/>
        <v>0</v>
      </c>
      <c r="F274" s="5">
        <f t="shared" si="8"/>
        <v>2</v>
      </c>
    </row>
    <row r="275" spans="1:6" x14ac:dyDescent="0.3">
      <c r="A275" s="5">
        <v>274</v>
      </c>
      <c r="B275" s="8" t="s">
        <v>486</v>
      </c>
      <c r="C275" s="8" t="s">
        <v>563</v>
      </c>
      <c r="D275" s="5">
        <v>2</v>
      </c>
      <c r="E275" s="5">
        <f t="shared" si="9"/>
        <v>0</v>
      </c>
      <c r="F275" s="5">
        <f t="shared" si="8"/>
        <v>2</v>
      </c>
    </row>
    <row r="276" spans="1:6" x14ac:dyDescent="0.3">
      <c r="A276" s="5">
        <v>275</v>
      </c>
      <c r="B276" s="8" t="s">
        <v>487</v>
      </c>
      <c r="C276" s="8">
        <v>240380</v>
      </c>
      <c r="D276" s="5">
        <v>2</v>
      </c>
      <c r="E276" s="5">
        <f t="shared" si="9"/>
        <v>0</v>
      </c>
      <c r="F276" s="5">
        <f t="shared" si="8"/>
        <v>2</v>
      </c>
    </row>
    <row r="277" spans="1:6" x14ac:dyDescent="0.3">
      <c r="A277" s="5">
        <v>276</v>
      </c>
      <c r="B277" s="8" t="s">
        <v>488</v>
      </c>
      <c r="C277" s="8">
        <v>240526</v>
      </c>
      <c r="D277" s="5">
        <v>2</v>
      </c>
      <c r="E277" s="5">
        <f t="shared" si="9"/>
        <v>0</v>
      </c>
      <c r="F277" s="5">
        <f t="shared" si="8"/>
        <v>2</v>
      </c>
    </row>
    <row r="278" spans="1:6" x14ac:dyDescent="0.3">
      <c r="A278" s="5">
        <v>277</v>
      </c>
      <c r="B278" s="8" t="s">
        <v>489</v>
      </c>
      <c r="C278" s="8" t="s">
        <v>564</v>
      </c>
      <c r="D278" s="5">
        <v>2</v>
      </c>
      <c r="E278" s="5">
        <f t="shared" si="9"/>
        <v>0</v>
      </c>
      <c r="F278" s="5">
        <f t="shared" ref="F278:F341" si="10">D278-E278</f>
        <v>2</v>
      </c>
    </row>
    <row r="279" spans="1:6" x14ac:dyDescent="0.3">
      <c r="A279" s="5">
        <v>278</v>
      </c>
      <c r="B279" s="8" t="s">
        <v>490</v>
      </c>
      <c r="C279" s="8" t="s">
        <v>565</v>
      </c>
      <c r="D279" s="5">
        <v>2</v>
      </c>
      <c r="E279" s="5">
        <f t="shared" si="9"/>
        <v>0</v>
      </c>
      <c r="F279" s="5">
        <f t="shared" si="10"/>
        <v>2</v>
      </c>
    </row>
    <row r="280" spans="1:6" x14ac:dyDescent="0.3">
      <c r="A280" s="5">
        <v>279</v>
      </c>
      <c r="B280" s="8" t="s">
        <v>491</v>
      </c>
      <c r="C280" s="8" t="s">
        <v>566</v>
      </c>
      <c r="D280" s="5">
        <v>2</v>
      </c>
      <c r="E280" s="5">
        <f t="shared" si="9"/>
        <v>0</v>
      </c>
      <c r="F280" s="5">
        <f t="shared" si="10"/>
        <v>2</v>
      </c>
    </row>
    <row r="281" spans="1:6" x14ac:dyDescent="0.3">
      <c r="A281" s="5">
        <v>280</v>
      </c>
      <c r="B281" s="8" t="s">
        <v>492</v>
      </c>
      <c r="C281" s="8" t="s">
        <v>567</v>
      </c>
      <c r="D281" s="5">
        <v>2</v>
      </c>
      <c r="E281" s="5">
        <f t="shared" si="9"/>
        <v>0</v>
      </c>
      <c r="F281" s="5">
        <f t="shared" si="10"/>
        <v>2</v>
      </c>
    </row>
    <row r="282" spans="1:6" x14ac:dyDescent="0.3">
      <c r="A282" s="5">
        <v>281</v>
      </c>
      <c r="B282" s="8" t="s">
        <v>493</v>
      </c>
      <c r="C282" s="8" t="s">
        <v>568</v>
      </c>
      <c r="D282" s="5">
        <v>2</v>
      </c>
      <c r="E282" s="5">
        <f t="shared" si="9"/>
        <v>0</v>
      </c>
      <c r="F282" s="5">
        <f t="shared" si="10"/>
        <v>2</v>
      </c>
    </row>
    <row r="283" spans="1:6" x14ac:dyDescent="0.3">
      <c r="A283" s="5">
        <v>282</v>
      </c>
      <c r="B283" s="8" t="s">
        <v>494</v>
      </c>
      <c r="C283" s="8" t="s">
        <v>569</v>
      </c>
      <c r="D283" s="5">
        <v>2</v>
      </c>
      <c r="E283" s="5">
        <f t="shared" si="9"/>
        <v>0</v>
      </c>
      <c r="F283" s="5">
        <f t="shared" si="10"/>
        <v>2</v>
      </c>
    </row>
    <row r="284" spans="1:6" x14ac:dyDescent="0.3">
      <c r="A284" s="5">
        <v>283</v>
      </c>
      <c r="B284" s="8" t="s">
        <v>495</v>
      </c>
      <c r="C284" s="8">
        <v>240538</v>
      </c>
      <c r="D284" s="5">
        <v>2</v>
      </c>
      <c r="E284" s="5">
        <f t="shared" si="9"/>
        <v>0</v>
      </c>
      <c r="F284" s="5">
        <f t="shared" si="10"/>
        <v>2</v>
      </c>
    </row>
    <row r="285" spans="1:6" x14ac:dyDescent="0.3">
      <c r="A285" s="5">
        <v>284</v>
      </c>
      <c r="B285" s="8" t="s">
        <v>496</v>
      </c>
      <c r="C285" s="8">
        <v>240528</v>
      </c>
      <c r="D285" s="5">
        <v>2</v>
      </c>
      <c r="E285" s="5">
        <f t="shared" si="9"/>
        <v>0</v>
      </c>
      <c r="F285" s="5">
        <f t="shared" si="10"/>
        <v>2</v>
      </c>
    </row>
    <row r="286" spans="1:6" x14ac:dyDescent="0.3">
      <c r="A286" s="5">
        <v>285</v>
      </c>
      <c r="B286" s="8" t="s">
        <v>497</v>
      </c>
      <c r="C286" s="8" t="s">
        <v>570</v>
      </c>
      <c r="D286" s="5">
        <v>2</v>
      </c>
      <c r="E286" s="5">
        <f t="shared" si="9"/>
        <v>0</v>
      </c>
      <c r="F286" s="5">
        <f t="shared" si="10"/>
        <v>2</v>
      </c>
    </row>
    <row r="287" spans="1:6" x14ac:dyDescent="0.3">
      <c r="A287" s="5">
        <v>286</v>
      </c>
      <c r="B287" s="8" t="s">
        <v>498</v>
      </c>
      <c r="C287" s="8" t="s">
        <v>571</v>
      </c>
      <c r="D287" s="5">
        <v>2</v>
      </c>
      <c r="E287" s="5">
        <f t="shared" si="9"/>
        <v>0</v>
      </c>
      <c r="F287" s="5">
        <f t="shared" si="10"/>
        <v>2</v>
      </c>
    </row>
    <row r="288" spans="1:6" x14ac:dyDescent="0.3">
      <c r="A288" s="5">
        <v>287</v>
      </c>
      <c r="B288" s="8" t="s">
        <v>499</v>
      </c>
      <c r="C288" s="8" t="s">
        <v>572</v>
      </c>
      <c r="D288" s="5">
        <v>2</v>
      </c>
      <c r="E288" s="5">
        <f t="shared" si="9"/>
        <v>0</v>
      </c>
      <c r="F288" s="5">
        <f t="shared" si="10"/>
        <v>2</v>
      </c>
    </row>
    <row r="289" spans="1:6" x14ac:dyDescent="0.3">
      <c r="A289" s="5">
        <v>288</v>
      </c>
      <c r="B289" s="8" t="s">
        <v>500</v>
      </c>
      <c r="C289" s="8" t="s">
        <v>573</v>
      </c>
      <c r="D289" s="5">
        <v>2</v>
      </c>
      <c r="E289" s="5">
        <f t="shared" si="9"/>
        <v>0</v>
      </c>
      <c r="F289" s="5">
        <f t="shared" si="10"/>
        <v>2</v>
      </c>
    </row>
    <row r="290" spans="1:6" x14ac:dyDescent="0.3">
      <c r="A290" s="5">
        <v>289</v>
      </c>
      <c r="B290" s="8" t="s">
        <v>501</v>
      </c>
      <c r="C290" s="8" t="s">
        <v>574</v>
      </c>
      <c r="D290" s="5">
        <v>2</v>
      </c>
      <c r="E290" s="5">
        <f t="shared" si="9"/>
        <v>0</v>
      </c>
      <c r="F290" s="5">
        <f t="shared" si="10"/>
        <v>2</v>
      </c>
    </row>
    <row r="291" spans="1:6" x14ac:dyDescent="0.3">
      <c r="A291" s="5">
        <v>290</v>
      </c>
      <c r="B291" s="8" t="s">
        <v>502</v>
      </c>
      <c r="C291" s="8">
        <v>230633</v>
      </c>
      <c r="D291" s="5">
        <v>2</v>
      </c>
      <c r="E291" s="5">
        <f t="shared" si="9"/>
        <v>0</v>
      </c>
      <c r="F291" s="5">
        <f t="shared" si="10"/>
        <v>2</v>
      </c>
    </row>
    <row r="292" spans="1:6" x14ac:dyDescent="0.3">
      <c r="A292" s="5">
        <v>291</v>
      </c>
      <c r="B292" s="8" t="s">
        <v>503</v>
      </c>
      <c r="C292" s="8" t="s">
        <v>341</v>
      </c>
      <c r="D292" s="5">
        <v>2</v>
      </c>
      <c r="E292" s="5">
        <f t="shared" si="9"/>
        <v>0</v>
      </c>
      <c r="F292" s="5">
        <f t="shared" si="10"/>
        <v>2</v>
      </c>
    </row>
    <row r="293" spans="1:6" x14ac:dyDescent="0.3">
      <c r="A293" s="5">
        <v>292</v>
      </c>
      <c r="B293" s="8" t="s">
        <v>504</v>
      </c>
      <c r="C293" s="8">
        <v>240539</v>
      </c>
      <c r="D293" s="5">
        <v>2</v>
      </c>
      <c r="E293" s="5">
        <f t="shared" si="9"/>
        <v>0</v>
      </c>
      <c r="F293" s="5">
        <f t="shared" si="10"/>
        <v>2</v>
      </c>
    </row>
    <row r="294" spans="1:6" x14ac:dyDescent="0.3">
      <c r="A294" s="5">
        <v>293</v>
      </c>
      <c r="B294" s="8" t="s">
        <v>505</v>
      </c>
      <c r="C294" s="8" t="s">
        <v>575</v>
      </c>
      <c r="D294" s="5">
        <v>2</v>
      </c>
      <c r="E294" s="5">
        <f t="shared" si="9"/>
        <v>0</v>
      </c>
      <c r="F294" s="5">
        <f t="shared" si="10"/>
        <v>2</v>
      </c>
    </row>
    <row r="295" spans="1:6" x14ac:dyDescent="0.3">
      <c r="A295" s="5">
        <v>294</v>
      </c>
      <c r="B295" s="8" t="s">
        <v>506</v>
      </c>
      <c r="C295" s="8" t="s">
        <v>576</v>
      </c>
      <c r="D295" s="5">
        <v>2</v>
      </c>
      <c r="E295" s="5">
        <f t="shared" si="9"/>
        <v>0</v>
      </c>
      <c r="F295" s="5">
        <f t="shared" si="10"/>
        <v>2</v>
      </c>
    </row>
    <row r="296" spans="1:6" x14ac:dyDescent="0.3">
      <c r="A296" s="5">
        <v>295</v>
      </c>
      <c r="B296" s="8" t="s">
        <v>507</v>
      </c>
      <c r="C296" s="8" t="s">
        <v>577</v>
      </c>
      <c r="D296" s="5">
        <v>2</v>
      </c>
      <c r="E296" s="5">
        <f t="shared" si="9"/>
        <v>0</v>
      </c>
      <c r="F296" s="5">
        <f t="shared" si="10"/>
        <v>2</v>
      </c>
    </row>
    <row r="297" spans="1:6" x14ac:dyDescent="0.3">
      <c r="A297" s="5">
        <v>296</v>
      </c>
      <c r="B297" s="8" t="s">
        <v>508</v>
      </c>
      <c r="C297" s="8" t="s">
        <v>578</v>
      </c>
      <c r="D297" s="5">
        <v>2</v>
      </c>
      <c r="E297" s="5">
        <f t="shared" si="9"/>
        <v>0</v>
      </c>
      <c r="F297" s="5">
        <f t="shared" si="10"/>
        <v>2</v>
      </c>
    </row>
    <row r="298" spans="1:6" x14ac:dyDescent="0.3">
      <c r="A298" s="5">
        <v>297</v>
      </c>
      <c r="B298" s="8" t="s">
        <v>509</v>
      </c>
      <c r="C298" s="8">
        <v>240434</v>
      </c>
      <c r="D298" s="5">
        <v>2</v>
      </c>
      <c r="E298" s="5">
        <f t="shared" si="9"/>
        <v>0</v>
      </c>
      <c r="F298" s="5">
        <f t="shared" si="10"/>
        <v>2</v>
      </c>
    </row>
    <row r="299" spans="1:6" x14ac:dyDescent="0.3">
      <c r="A299" s="5">
        <v>298</v>
      </c>
      <c r="B299" s="8" t="s">
        <v>510</v>
      </c>
      <c r="C299" s="8" t="s">
        <v>579</v>
      </c>
      <c r="D299" s="5">
        <v>2</v>
      </c>
      <c r="E299" s="5">
        <f t="shared" si="9"/>
        <v>0</v>
      </c>
      <c r="F299" s="5">
        <f t="shared" si="10"/>
        <v>2</v>
      </c>
    </row>
    <row r="300" spans="1:6" x14ac:dyDescent="0.3">
      <c r="A300" s="5">
        <v>299</v>
      </c>
      <c r="B300" s="8" t="s">
        <v>511</v>
      </c>
      <c r="C300" s="8" t="s">
        <v>580</v>
      </c>
      <c r="D300" s="5">
        <v>2</v>
      </c>
      <c r="E300" s="5">
        <f t="shared" si="9"/>
        <v>0</v>
      </c>
      <c r="F300" s="5">
        <f t="shared" si="10"/>
        <v>2</v>
      </c>
    </row>
    <row r="301" spans="1:6" x14ac:dyDescent="0.3">
      <c r="A301" s="5">
        <v>300</v>
      </c>
      <c r="B301" s="8" t="s">
        <v>512</v>
      </c>
      <c r="C301" s="8">
        <v>240608</v>
      </c>
      <c r="D301" s="5">
        <v>2</v>
      </c>
      <c r="E301" s="5">
        <f t="shared" si="9"/>
        <v>0</v>
      </c>
      <c r="F301" s="5">
        <f t="shared" si="10"/>
        <v>2</v>
      </c>
    </row>
    <row r="302" spans="1:6" x14ac:dyDescent="0.3">
      <c r="A302" s="5">
        <v>301</v>
      </c>
      <c r="B302" s="8" t="s">
        <v>513</v>
      </c>
      <c r="C302" s="8" t="s">
        <v>581</v>
      </c>
      <c r="D302" s="5">
        <v>2</v>
      </c>
      <c r="E302" s="5">
        <f t="shared" si="9"/>
        <v>0</v>
      </c>
      <c r="F302" s="5">
        <f t="shared" si="10"/>
        <v>2</v>
      </c>
    </row>
    <row r="303" spans="1:6" x14ac:dyDescent="0.3">
      <c r="A303" s="5">
        <v>302</v>
      </c>
      <c r="B303" s="8" t="s">
        <v>514</v>
      </c>
      <c r="C303" s="8">
        <v>240636</v>
      </c>
      <c r="D303" s="5">
        <v>2</v>
      </c>
      <c r="E303" s="5">
        <f t="shared" si="9"/>
        <v>0</v>
      </c>
      <c r="F303" s="5">
        <f t="shared" si="10"/>
        <v>2</v>
      </c>
    </row>
    <row r="304" spans="1:6" x14ac:dyDescent="0.3">
      <c r="A304" s="5">
        <v>303</v>
      </c>
      <c r="B304" s="8" t="s">
        <v>515</v>
      </c>
      <c r="C304" s="8" t="s">
        <v>582</v>
      </c>
      <c r="D304" s="5">
        <v>2</v>
      </c>
      <c r="E304" s="5">
        <f t="shared" si="9"/>
        <v>0</v>
      </c>
      <c r="F304" s="5">
        <f t="shared" si="10"/>
        <v>2</v>
      </c>
    </row>
    <row r="305" spans="1:6" x14ac:dyDescent="0.3">
      <c r="A305" s="5">
        <v>304</v>
      </c>
      <c r="B305" s="8" t="s">
        <v>516</v>
      </c>
      <c r="C305" s="8" t="s">
        <v>583</v>
      </c>
      <c r="D305" s="5">
        <v>2</v>
      </c>
      <c r="E305" s="5">
        <f t="shared" si="9"/>
        <v>0</v>
      </c>
      <c r="F305" s="5">
        <f t="shared" si="10"/>
        <v>2</v>
      </c>
    </row>
    <row r="306" spans="1:6" x14ac:dyDescent="0.3">
      <c r="A306" s="5">
        <v>305</v>
      </c>
      <c r="B306" s="8" t="s">
        <v>517</v>
      </c>
      <c r="C306" s="8" t="s">
        <v>584</v>
      </c>
      <c r="D306" s="5">
        <v>2</v>
      </c>
      <c r="E306" s="5">
        <f t="shared" si="9"/>
        <v>0</v>
      </c>
      <c r="F306" s="5">
        <f t="shared" si="10"/>
        <v>2</v>
      </c>
    </row>
    <row r="307" spans="1:6" x14ac:dyDescent="0.3">
      <c r="A307" s="5">
        <v>306</v>
      </c>
      <c r="B307" s="8" t="s">
        <v>518</v>
      </c>
      <c r="C307" s="8" t="s">
        <v>585</v>
      </c>
      <c r="D307" s="5">
        <v>2</v>
      </c>
      <c r="E307" s="5">
        <f t="shared" si="9"/>
        <v>0</v>
      </c>
      <c r="F307" s="5">
        <f t="shared" si="10"/>
        <v>2</v>
      </c>
    </row>
    <row r="308" spans="1:6" x14ac:dyDescent="0.3">
      <c r="A308" s="5">
        <v>307</v>
      </c>
      <c r="B308" s="8" t="s">
        <v>519</v>
      </c>
      <c r="C308" s="8" t="s">
        <v>586</v>
      </c>
      <c r="D308" s="5">
        <v>2</v>
      </c>
      <c r="E308" s="5">
        <f t="shared" si="9"/>
        <v>0</v>
      </c>
      <c r="F308" s="5">
        <f t="shared" si="10"/>
        <v>2</v>
      </c>
    </row>
    <row r="309" spans="1:6" x14ac:dyDescent="0.3">
      <c r="A309" s="5">
        <v>308</v>
      </c>
      <c r="B309" s="8" t="s">
        <v>520</v>
      </c>
      <c r="C309" s="8">
        <v>240760</v>
      </c>
      <c r="D309" s="5">
        <v>2</v>
      </c>
      <c r="E309" s="5">
        <f t="shared" si="9"/>
        <v>0</v>
      </c>
      <c r="F309" s="5">
        <f t="shared" si="10"/>
        <v>2</v>
      </c>
    </row>
    <row r="310" spans="1:6" x14ac:dyDescent="0.3">
      <c r="A310" s="5">
        <v>309</v>
      </c>
      <c r="B310" s="8" t="s">
        <v>521</v>
      </c>
      <c r="C310" s="8" t="s">
        <v>587</v>
      </c>
      <c r="D310" s="5">
        <v>2</v>
      </c>
      <c r="E310" s="5">
        <f t="shared" si="9"/>
        <v>0</v>
      </c>
      <c r="F310" s="5">
        <f t="shared" si="10"/>
        <v>2</v>
      </c>
    </row>
    <row r="311" spans="1:6" x14ac:dyDescent="0.3">
      <c r="A311" s="5">
        <v>310</v>
      </c>
      <c r="B311" s="8" t="s">
        <v>522</v>
      </c>
      <c r="C311" s="8" t="s">
        <v>588</v>
      </c>
      <c r="D311" s="5">
        <v>2</v>
      </c>
      <c r="E311" s="5">
        <f t="shared" si="9"/>
        <v>0</v>
      </c>
      <c r="F311" s="5">
        <f t="shared" si="10"/>
        <v>2</v>
      </c>
    </row>
    <row r="312" spans="1:6" x14ac:dyDescent="0.3">
      <c r="A312" s="5">
        <v>311</v>
      </c>
      <c r="B312" s="8" t="s">
        <v>523</v>
      </c>
      <c r="C312" s="8" t="s">
        <v>589</v>
      </c>
      <c r="D312" s="5">
        <v>2</v>
      </c>
      <c r="E312" s="5">
        <f t="shared" si="9"/>
        <v>0</v>
      </c>
      <c r="F312" s="5">
        <f t="shared" si="10"/>
        <v>2</v>
      </c>
    </row>
    <row r="313" spans="1:6" x14ac:dyDescent="0.3">
      <c r="A313" s="5">
        <v>312</v>
      </c>
      <c r="B313" s="8" t="s">
        <v>524</v>
      </c>
      <c r="C313" s="8">
        <v>240737</v>
      </c>
      <c r="D313" s="5">
        <v>2</v>
      </c>
      <c r="E313" s="5">
        <f t="shared" si="9"/>
        <v>0</v>
      </c>
      <c r="F313" s="5">
        <f t="shared" si="10"/>
        <v>2</v>
      </c>
    </row>
    <row r="314" spans="1:6" x14ac:dyDescent="0.3">
      <c r="A314" s="5">
        <v>313</v>
      </c>
      <c r="B314" s="8" t="s">
        <v>525</v>
      </c>
      <c r="C314" s="8" t="s">
        <v>590</v>
      </c>
      <c r="D314" s="5">
        <v>2</v>
      </c>
      <c r="E314" s="5">
        <f t="shared" si="9"/>
        <v>0</v>
      </c>
      <c r="F314" s="5">
        <f t="shared" si="10"/>
        <v>2</v>
      </c>
    </row>
    <row r="315" spans="1:6" x14ac:dyDescent="0.3">
      <c r="A315" s="5">
        <v>314</v>
      </c>
      <c r="B315" s="8" t="s">
        <v>526</v>
      </c>
      <c r="C315" s="8" t="s">
        <v>591</v>
      </c>
      <c r="D315" s="5">
        <v>2</v>
      </c>
      <c r="E315" s="5">
        <f t="shared" si="9"/>
        <v>0</v>
      </c>
      <c r="F315" s="5">
        <f t="shared" si="10"/>
        <v>2</v>
      </c>
    </row>
    <row r="316" spans="1:6" x14ac:dyDescent="0.3">
      <c r="A316" s="5">
        <v>315</v>
      </c>
      <c r="B316" s="8" t="s">
        <v>527</v>
      </c>
      <c r="C316" s="8" t="s">
        <v>592</v>
      </c>
      <c r="D316" s="5">
        <v>2</v>
      </c>
      <c r="E316" s="5">
        <f t="shared" si="9"/>
        <v>0</v>
      </c>
      <c r="F316" s="5">
        <f t="shared" si="10"/>
        <v>2</v>
      </c>
    </row>
    <row r="317" spans="1:6" x14ac:dyDescent="0.3">
      <c r="A317" s="5">
        <v>316</v>
      </c>
      <c r="B317" s="8" t="s">
        <v>528</v>
      </c>
      <c r="C317" s="8" t="s">
        <v>593</v>
      </c>
      <c r="D317" s="5">
        <v>2</v>
      </c>
      <c r="E317" s="5">
        <f t="shared" si="9"/>
        <v>0</v>
      </c>
      <c r="F317" s="5">
        <f t="shared" si="10"/>
        <v>2</v>
      </c>
    </row>
    <row r="318" spans="1:6" x14ac:dyDescent="0.3">
      <c r="A318" s="5">
        <v>317</v>
      </c>
      <c r="B318" s="8" t="s">
        <v>529</v>
      </c>
      <c r="C318" s="8">
        <v>240735</v>
      </c>
      <c r="D318" s="5">
        <v>2</v>
      </c>
      <c r="E318" s="5">
        <f t="shared" si="9"/>
        <v>0</v>
      </c>
      <c r="F318" s="5">
        <f t="shared" si="10"/>
        <v>2</v>
      </c>
    </row>
    <row r="319" spans="1:6" x14ac:dyDescent="0.3">
      <c r="A319" s="5">
        <v>318</v>
      </c>
      <c r="B319" s="8" t="s">
        <v>530</v>
      </c>
      <c r="C319" s="8" t="s">
        <v>594</v>
      </c>
      <c r="D319" s="5">
        <v>2</v>
      </c>
      <c r="E319" s="5">
        <f t="shared" si="9"/>
        <v>0</v>
      </c>
      <c r="F319" s="5">
        <f t="shared" si="10"/>
        <v>2</v>
      </c>
    </row>
    <row r="320" spans="1:6" x14ac:dyDescent="0.3">
      <c r="A320" s="5">
        <v>319</v>
      </c>
      <c r="B320" s="8" t="s">
        <v>598</v>
      </c>
      <c r="C320" s="8" t="s">
        <v>595</v>
      </c>
      <c r="D320" s="5">
        <v>2</v>
      </c>
      <c r="E320" s="5">
        <f t="shared" si="9"/>
        <v>0</v>
      </c>
      <c r="F320" s="5">
        <f t="shared" si="10"/>
        <v>2</v>
      </c>
    </row>
    <row r="321" spans="1:6" x14ac:dyDescent="0.3">
      <c r="A321" s="5">
        <v>320</v>
      </c>
      <c r="B321" s="8" t="s">
        <v>599</v>
      </c>
      <c r="C321" s="8" t="s">
        <v>596</v>
      </c>
      <c r="D321" s="5">
        <v>2</v>
      </c>
      <c r="E321" s="5">
        <f t="shared" si="9"/>
        <v>0</v>
      </c>
      <c r="F321" s="5">
        <f t="shared" si="10"/>
        <v>2</v>
      </c>
    </row>
    <row r="322" spans="1:6" x14ac:dyDescent="0.3">
      <c r="A322" s="5">
        <v>321</v>
      </c>
      <c r="B322" s="8" t="s">
        <v>600</v>
      </c>
      <c r="C322" s="8" t="s">
        <v>597</v>
      </c>
      <c r="D322" s="5">
        <v>2</v>
      </c>
      <c r="E322" s="5">
        <f t="shared" si="9"/>
        <v>0</v>
      </c>
      <c r="F322" s="5">
        <f t="shared" si="10"/>
        <v>2</v>
      </c>
    </row>
    <row r="323" spans="1:6" x14ac:dyDescent="0.3">
      <c r="A323" s="5">
        <v>322</v>
      </c>
      <c r="B323" t="s">
        <v>967</v>
      </c>
      <c r="C323" t="s">
        <v>966</v>
      </c>
      <c r="D323" s="5">
        <v>2</v>
      </c>
      <c r="E323" s="5">
        <f t="shared" ref="E323:E366" si="11">SUMIF($G:$G,B323,$H:$H)</f>
        <v>0</v>
      </c>
      <c r="F323" s="5">
        <f t="shared" si="10"/>
        <v>2</v>
      </c>
    </row>
    <row r="324" spans="1:6" x14ac:dyDescent="0.3">
      <c r="A324" s="5">
        <v>323</v>
      </c>
      <c r="B324" t="s">
        <v>481</v>
      </c>
      <c r="C324" t="s">
        <v>972</v>
      </c>
      <c r="D324" s="5">
        <v>2</v>
      </c>
      <c r="E324" s="5">
        <f t="shared" si="11"/>
        <v>0</v>
      </c>
      <c r="F324" s="5">
        <f t="shared" si="10"/>
        <v>2</v>
      </c>
    </row>
    <row r="325" spans="1:6" x14ac:dyDescent="0.3">
      <c r="A325" s="5">
        <v>324</v>
      </c>
      <c r="B325" t="s">
        <v>968</v>
      </c>
      <c r="C325" t="s">
        <v>571</v>
      </c>
      <c r="D325" s="5">
        <v>2</v>
      </c>
      <c r="E325" s="5">
        <f t="shared" si="11"/>
        <v>0</v>
      </c>
      <c r="F325" s="5">
        <f t="shared" si="10"/>
        <v>2</v>
      </c>
    </row>
    <row r="326" spans="1:6" x14ac:dyDescent="0.3">
      <c r="A326" s="5">
        <v>325</v>
      </c>
      <c r="B326" t="s">
        <v>969</v>
      </c>
      <c r="C326" t="s">
        <v>973</v>
      </c>
      <c r="D326" s="5">
        <v>2</v>
      </c>
      <c r="E326" s="5">
        <f t="shared" si="11"/>
        <v>0</v>
      </c>
      <c r="F326" s="5">
        <f t="shared" si="10"/>
        <v>2</v>
      </c>
    </row>
    <row r="327" spans="1:6" x14ac:dyDescent="0.3">
      <c r="A327" s="5">
        <v>326</v>
      </c>
      <c r="B327" t="s">
        <v>970</v>
      </c>
      <c r="C327" t="s">
        <v>971</v>
      </c>
      <c r="D327" s="5">
        <v>2</v>
      </c>
      <c r="E327" s="5">
        <f t="shared" si="11"/>
        <v>0</v>
      </c>
      <c r="F327" s="5">
        <f t="shared" si="10"/>
        <v>2</v>
      </c>
    </row>
    <row r="328" spans="1:6" x14ac:dyDescent="0.3">
      <c r="A328" s="5">
        <v>327</v>
      </c>
      <c r="B328" t="s">
        <v>974</v>
      </c>
      <c r="C328" t="s">
        <v>985</v>
      </c>
      <c r="D328" s="5">
        <v>2</v>
      </c>
      <c r="E328" s="5">
        <f t="shared" si="11"/>
        <v>0</v>
      </c>
      <c r="F328" s="5">
        <f t="shared" si="10"/>
        <v>2</v>
      </c>
    </row>
    <row r="329" spans="1:6" x14ac:dyDescent="0.3">
      <c r="A329" s="5">
        <v>328</v>
      </c>
      <c r="B329" t="s">
        <v>987</v>
      </c>
      <c r="C329" t="s">
        <v>986</v>
      </c>
      <c r="D329" s="5">
        <v>2</v>
      </c>
      <c r="E329" s="5">
        <f t="shared" si="11"/>
        <v>0</v>
      </c>
      <c r="F329" s="5">
        <f t="shared" si="10"/>
        <v>2</v>
      </c>
    </row>
    <row r="330" spans="1:6" x14ac:dyDescent="0.3">
      <c r="A330" s="5">
        <v>329</v>
      </c>
      <c r="B330" t="s">
        <v>975</v>
      </c>
      <c r="C330" t="s">
        <v>984</v>
      </c>
      <c r="D330" s="5">
        <v>2</v>
      </c>
      <c r="E330" s="5">
        <f t="shared" si="11"/>
        <v>0</v>
      </c>
      <c r="F330" s="5">
        <f t="shared" si="10"/>
        <v>2</v>
      </c>
    </row>
    <row r="331" spans="1:6" x14ac:dyDescent="0.3">
      <c r="A331" s="5">
        <v>330</v>
      </c>
      <c r="B331" t="s">
        <v>976</v>
      </c>
      <c r="C331" t="s">
        <v>983</v>
      </c>
      <c r="D331" s="5">
        <v>2</v>
      </c>
      <c r="E331" s="5">
        <f t="shared" si="11"/>
        <v>0</v>
      </c>
      <c r="F331" s="5">
        <f t="shared" si="10"/>
        <v>2</v>
      </c>
    </row>
    <row r="332" spans="1:6" x14ac:dyDescent="0.3">
      <c r="A332" s="5">
        <v>331</v>
      </c>
      <c r="B332" t="s">
        <v>977</v>
      </c>
      <c r="C332" t="s">
        <v>981</v>
      </c>
      <c r="D332" s="5">
        <v>2</v>
      </c>
      <c r="E332" s="5">
        <f t="shared" si="11"/>
        <v>0</v>
      </c>
      <c r="F332" s="5">
        <f t="shared" si="10"/>
        <v>2</v>
      </c>
    </row>
    <row r="333" spans="1:6" x14ac:dyDescent="0.3">
      <c r="A333" s="5">
        <v>332</v>
      </c>
      <c r="B333" t="s">
        <v>978</v>
      </c>
      <c r="C333" t="s">
        <v>956</v>
      </c>
      <c r="D333" s="5">
        <v>2</v>
      </c>
      <c r="E333" s="5">
        <f t="shared" si="11"/>
        <v>0</v>
      </c>
      <c r="F333" s="5">
        <f t="shared" si="10"/>
        <v>2</v>
      </c>
    </row>
    <row r="334" spans="1:6" x14ac:dyDescent="0.3">
      <c r="A334" s="5">
        <v>333</v>
      </c>
      <c r="B334" t="s">
        <v>979</v>
      </c>
      <c r="C334" t="s">
        <v>980</v>
      </c>
      <c r="D334" s="5">
        <v>2</v>
      </c>
      <c r="E334" s="5">
        <f t="shared" si="11"/>
        <v>0</v>
      </c>
      <c r="F334" s="5">
        <f t="shared" si="10"/>
        <v>2</v>
      </c>
    </row>
    <row r="335" spans="1:6" x14ac:dyDescent="0.3">
      <c r="A335" s="5">
        <v>334</v>
      </c>
      <c r="B335" t="s">
        <v>990</v>
      </c>
      <c r="C335" t="s">
        <v>988</v>
      </c>
      <c r="D335" s="5">
        <v>2</v>
      </c>
      <c r="E335" s="5">
        <f t="shared" si="11"/>
        <v>0</v>
      </c>
      <c r="F335" s="5">
        <f t="shared" si="10"/>
        <v>2</v>
      </c>
    </row>
    <row r="336" spans="1:6" x14ac:dyDescent="0.3">
      <c r="A336" s="5">
        <v>335</v>
      </c>
      <c r="B336" t="s">
        <v>989</v>
      </c>
      <c r="C336" t="s">
        <v>980</v>
      </c>
      <c r="D336" s="5">
        <v>2</v>
      </c>
      <c r="E336" s="5">
        <f t="shared" si="11"/>
        <v>0</v>
      </c>
      <c r="F336" s="5">
        <f t="shared" si="10"/>
        <v>2</v>
      </c>
    </row>
    <row r="337" spans="1:6" x14ac:dyDescent="0.3">
      <c r="A337" s="5">
        <v>336</v>
      </c>
      <c r="B337" t="s">
        <v>991</v>
      </c>
      <c r="C337" t="s">
        <v>995</v>
      </c>
      <c r="D337" s="5">
        <v>2</v>
      </c>
      <c r="E337" s="5">
        <f t="shared" si="11"/>
        <v>0</v>
      </c>
      <c r="F337" s="5">
        <f t="shared" si="10"/>
        <v>2</v>
      </c>
    </row>
    <row r="338" spans="1:6" x14ac:dyDescent="0.3">
      <c r="A338" s="5">
        <v>337</v>
      </c>
      <c r="B338" t="s">
        <v>992</v>
      </c>
      <c r="C338" t="s">
        <v>994</v>
      </c>
      <c r="D338" s="5">
        <v>2</v>
      </c>
      <c r="E338" s="5">
        <f t="shared" si="11"/>
        <v>0</v>
      </c>
      <c r="F338" s="5">
        <f t="shared" si="10"/>
        <v>2</v>
      </c>
    </row>
    <row r="339" spans="1:6" x14ac:dyDescent="0.3">
      <c r="A339" s="5">
        <v>338</v>
      </c>
      <c r="B339" t="s">
        <v>993</v>
      </c>
      <c r="C339" t="s">
        <v>996</v>
      </c>
      <c r="D339" s="5">
        <v>2</v>
      </c>
      <c r="E339" s="5">
        <f t="shared" si="11"/>
        <v>0</v>
      </c>
      <c r="F339" s="5">
        <f t="shared" si="10"/>
        <v>2</v>
      </c>
    </row>
    <row r="340" spans="1:6" x14ac:dyDescent="0.3">
      <c r="A340" s="5">
        <v>339</v>
      </c>
      <c r="B340" t="s">
        <v>997</v>
      </c>
      <c r="C340" t="s">
        <v>1003</v>
      </c>
      <c r="D340" s="5">
        <v>2</v>
      </c>
      <c r="E340" s="5">
        <f t="shared" si="11"/>
        <v>0</v>
      </c>
      <c r="F340" s="5">
        <f t="shared" si="10"/>
        <v>2</v>
      </c>
    </row>
    <row r="341" spans="1:6" x14ac:dyDescent="0.3">
      <c r="A341" s="5">
        <v>340</v>
      </c>
      <c r="B341" t="s">
        <v>998</v>
      </c>
      <c r="C341" t="s">
        <v>1004</v>
      </c>
      <c r="D341" s="5">
        <v>2</v>
      </c>
      <c r="E341" s="5">
        <f t="shared" si="11"/>
        <v>0</v>
      </c>
      <c r="F341" s="5">
        <f t="shared" si="10"/>
        <v>2</v>
      </c>
    </row>
    <row r="342" spans="1:6" x14ac:dyDescent="0.3">
      <c r="A342" s="5">
        <v>341</v>
      </c>
      <c r="B342" t="s">
        <v>999</v>
      </c>
      <c r="C342" t="s">
        <v>1005</v>
      </c>
      <c r="D342" s="5">
        <v>2</v>
      </c>
      <c r="E342" s="5">
        <f t="shared" si="11"/>
        <v>0</v>
      </c>
      <c r="F342" s="5">
        <f t="shared" ref="F342:F366" si="12">D342-E342</f>
        <v>2</v>
      </c>
    </row>
    <row r="343" spans="1:6" x14ac:dyDescent="0.3">
      <c r="A343" s="5">
        <v>342</v>
      </c>
      <c r="B343" t="s">
        <v>1007</v>
      </c>
      <c r="C343" t="s">
        <v>1006</v>
      </c>
      <c r="D343" s="5">
        <v>2</v>
      </c>
      <c r="E343" s="5">
        <f t="shared" si="11"/>
        <v>0</v>
      </c>
      <c r="F343" s="5">
        <f t="shared" si="12"/>
        <v>2</v>
      </c>
    </row>
    <row r="344" spans="1:6" x14ac:dyDescent="0.3">
      <c r="A344" s="5">
        <v>343</v>
      </c>
      <c r="B344" t="s">
        <v>1002</v>
      </c>
      <c r="C344" t="s">
        <v>1008</v>
      </c>
      <c r="D344" s="5">
        <v>2</v>
      </c>
      <c r="E344" s="5">
        <f t="shared" si="11"/>
        <v>0</v>
      </c>
      <c r="F344" s="5">
        <f t="shared" si="12"/>
        <v>2</v>
      </c>
    </row>
    <row r="345" spans="1:6" x14ac:dyDescent="0.3">
      <c r="A345" s="5">
        <v>344</v>
      </c>
      <c r="B345" t="s">
        <v>1000</v>
      </c>
      <c r="C345" t="s">
        <v>1011</v>
      </c>
      <c r="D345" s="5">
        <v>2</v>
      </c>
      <c r="E345" s="5">
        <f t="shared" si="11"/>
        <v>0</v>
      </c>
      <c r="F345" s="5">
        <f t="shared" si="12"/>
        <v>2</v>
      </c>
    </row>
    <row r="346" spans="1:6" x14ac:dyDescent="0.3">
      <c r="A346" s="5">
        <v>345</v>
      </c>
      <c r="B346" t="s">
        <v>1001</v>
      </c>
      <c r="C346" t="s">
        <v>1010</v>
      </c>
      <c r="D346" s="5">
        <v>2</v>
      </c>
      <c r="E346" s="5">
        <f t="shared" si="11"/>
        <v>0</v>
      </c>
      <c r="F346" s="5">
        <f t="shared" si="12"/>
        <v>2</v>
      </c>
    </row>
    <row r="347" spans="1:6" x14ac:dyDescent="0.3">
      <c r="A347" s="5">
        <v>346</v>
      </c>
      <c r="B347" t="s">
        <v>1012</v>
      </c>
      <c r="C347" t="s">
        <v>1018</v>
      </c>
      <c r="D347" s="5">
        <v>2</v>
      </c>
      <c r="E347" s="5">
        <f t="shared" si="11"/>
        <v>0</v>
      </c>
      <c r="F347" s="5">
        <f t="shared" si="12"/>
        <v>2</v>
      </c>
    </row>
    <row r="348" spans="1:6" x14ac:dyDescent="0.3">
      <c r="A348" s="5">
        <v>347</v>
      </c>
      <c r="B348" t="s">
        <v>1013</v>
      </c>
      <c r="C348" t="s">
        <v>1019</v>
      </c>
      <c r="D348" s="5">
        <v>2</v>
      </c>
      <c r="E348" s="5">
        <f t="shared" si="11"/>
        <v>0</v>
      </c>
      <c r="F348" s="5">
        <f t="shared" si="12"/>
        <v>2</v>
      </c>
    </row>
    <row r="349" spans="1:6" x14ac:dyDescent="0.3">
      <c r="A349" s="5">
        <v>348</v>
      </c>
      <c r="B349" t="s">
        <v>1014</v>
      </c>
      <c r="C349" t="s">
        <v>1020</v>
      </c>
      <c r="D349" s="5">
        <v>2</v>
      </c>
      <c r="E349" s="5">
        <f t="shared" si="11"/>
        <v>0</v>
      </c>
      <c r="F349" s="5">
        <f t="shared" si="12"/>
        <v>2</v>
      </c>
    </row>
    <row r="350" spans="1:6" x14ac:dyDescent="0.3">
      <c r="A350" s="5">
        <v>349</v>
      </c>
      <c r="B350" t="s">
        <v>1015</v>
      </c>
      <c r="C350" t="s">
        <v>1021</v>
      </c>
      <c r="D350" s="5">
        <v>2</v>
      </c>
      <c r="E350" s="5">
        <f t="shared" si="11"/>
        <v>0</v>
      </c>
      <c r="F350" s="5">
        <f t="shared" si="12"/>
        <v>2</v>
      </c>
    </row>
    <row r="351" spans="1:6" x14ac:dyDescent="0.3">
      <c r="A351" s="5">
        <v>350</v>
      </c>
      <c r="B351" t="s">
        <v>1023</v>
      </c>
      <c r="C351" t="s">
        <v>1022</v>
      </c>
      <c r="D351" s="5">
        <v>2</v>
      </c>
      <c r="E351" s="5">
        <f t="shared" si="11"/>
        <v>0</v>
      </c>
      <c r="F351" s="5">
        <f t="shared" si="12"/>
        <v>2</v>
      </c>
    </row>
    <row r="352" spans="1:6" x14ac:dyDescent="0.3">
      <c r="A352" s="5">
        <v>351</v>
      </c>
      <c r="B352" t="s">
        <v>1016</v>
      </c>
      <c r="C352" t="s">
        <v>1024</v>
      </c>
      <c r="D352" s="5">
        <v>2</v>
      </c>
      <c r="E352" s="5">
        <f t="shared" si="11"/>
        <v>0</v>
      </c>
      <c r="F352" s="5">
        <f t="shared" si="12"/>
        <v>2</v>
      </c>
    </row>
    <row r="353" spans="1:6" x14ac:dyDescent="0.3">
      <c r="A353" s="5">
        <v>352</v>
      </c>
      <c r="B353" t="s">
        <v>1017</v>
      </c>
      <c r="C353" t="s">
        <v>1025</v>
      </c>
      <c r="D353" s="5">
        <v>2</v>
      </c>
      <c r="E353" s="5">
        <f t="shared" si="11"/>
        <v>0</v>
      </c>
      <c r="F353" s="5">
        <f t="shared" si="12"/>
        <v>2</v>
      </c>
    </row>
    <row r="354" spans="1:6" x14ac:dyDescent="0.3">
      <c r="A354" s="5">
        <v>353</v>
      </c>
      <c r="B354" t="s">
        <v>1026</v>
      </c>
      <c r="C354" t="s">
        <v>1027</v>
      </c>
      <c r="D354" s="5">
        <v>2</v>
      </c>
      <c r="E354" s="5">
        <f t="shared" si="11"/>
        <v>0</v>
      </c>
      <c r="F354" s="5">
        <f t="shared" si="12"/>
        <v>2</v>
      </c>
    </row>
    <row r="355" spans="1:6" x14ac:dyDescent="0.3">
      <c r="A355" s="5">
        <v>354</v>
      </c>
      <c r="B355" t="s">
        <v>1030</v>
      </c>
      <c r="C355" t="s">
        <v>1028</v>
      </c>
      <c r="D355" s="5">
        <v>2</v>
      </c>
      <c r="E355" s="5">
        <f t="shared" si="11"/>
        <v>0</v>
      </c>
      <c r="F355" s="5">
        <f t="shared" si="12"/>
        <v>2</v>
      </c>
    </row>
    <row r="356" spans="1:6" x14ac:dyDescent="0.3">
      <c r="A356" s="5">
        <v>355</v>
      </c>
      <c r="B356" t="s">
        <v>1029</v>
      </c>
      <c r="C356" t="s">
        <v>1024</v>
      </c>
      <c r="D356" s="5">
        <v>2</v>
      </c>
      <c r="E356" s="5">
        <f t="shared" si="11"/>
        <v>0</v>
      </c>
      <c r="F356" s="5">
        <f t="shared" si="12"/>
        <v>2</v>
      </c>
    </row>
    <row r="357" spans="1:6" x14ac:dyDescent="0.3">
      <c r="A357" s="5">
        <v>356</v>
      </c>
      <c r="B357" t="s">
        <v>1611</v>
      </c>
      <c r="D357" s="5">
        <v>2</v>
      </c>
      <c r="E357" s="5">
        <f t="shared" si="11"/>
        <v>0</v>
      </c>
      <c r="F357" s="5">
        <f t="shared" si="12"/>
        <v>2</v>
      </c>
    </row>
    <row r="358" spans="1:6" x14ac:dyDescent="0.3">
      <c r="A358" s="5">
        <v>357</v>
      </c>
      <c r="B358" t="s">
        <v>1613</v>
      </c>
      <c r="C358" t="s">
        <v>1612</v>
      </c>
      <c r="D358" s="5">
        <v>2</v>
      </c>
      <c r="E358" s="5">
        <f t="shared" si="11"/>
        <v>0</v>
      </c>
      <c r="F358" s="5">
        <f t="shared" si="12"/>
        <v>2</v>
      </c>
    </row>
    <row r="359" spans="1:6" x14ac:dyDescent="0.3">
      <c r="A359" s="5">
        <v>358</v>
      </c>
      <c r="B359" t="s">
        <v>1605</v>
      </c>
      <c r="C359" t="s">
        <v>1612</v>
      </c>
      <c r="D359" s="5">
        <v>2</v>
      </c>
      <c r="E359" s="5">
        <f t="shared" si="11"/>
        <v>0</v>
      </c>
      <c r="F359" s="5">
        <f t="shared" si="12"/>
        <v>2</v>
      </c>
    </row>
    <row r="360" spans="1:6" x14ac:dyDescent="0.3">
      <c r="A360" s="5">
        <v>359</v>
      </c>
      <c r="B360" t="s">
        <v>1606</v>
      </c>
      <c r="C360" t="s">
        <v>1612</v>
      </c>
      <c r="D360" s="5">
        <v>2</v>
      </c>
      <c r="E360" s="5">
        <f t="shared" si="11"/>
        <v>0</v>
      </c>
      <c r="F360" s="5">
        <f t="shared" si="12"/>
        <v>2</v>
      </c>
    </row>
    <row r="361" spans="1:6" x14ac:dyDescent="0.3">
      <c r="A361" s="5">
        <v>360</v>
      </c>
      <c r="B361" t="s">
        <v>1607</v>
      </c>
      <c r="C361" t="s">
        <v>1464</v>
      </c>
      <c r="D361" s="5">
        <v>2</v>
      </c>
      <c r="E361" s="5">
        <f t="shared" si="11"/>
        <v>0</v>
      </c>
      <c r="F361" s="5">
        <f t="shared" si="12"/>
        <v>2</v>
      </c>
    </row>
    <row r="362" spans="1:6" x14ac:dyDescent="0.3">
      <c r="A362" s="5">
        <v>361</v>
      </c>
      <c r="B362" t="s">
        <v>1608</v>
      </c>
      <c r="C362" t="s">
        <v>1614</v>
      </c>
      <c r="D362" s="5">
        <v>2</v>
      </c>
      <c r="E362" s="5">
        <f t="shared" si="11"/>
        <v>0</v>
      </c>
      <c r="F362" s="5">
        <f t="shared" si="12"/>
        <v>2</v>
      </c>
    </row>
    <row r="363" spans="1:6" x14ac:dyDescent="0.3">
      <c r="A363" s="5">
        <v>362</v>
      </c>
      <c r="B363" t="s">
        <v>1609</v>
      </c>
      <c r="C363" t="s">
        <v>1024</v>
      </c>
      <c r="D363" s="5">
        <v>2</v>
      </c>
      <c r="E363" s="5">
        <f t="shared" si="11"/>
        <v>0</v>
      </c>
      <c r="F363" s="5">
        <f t="shared" si="12"/>
        <v>2</v>
      </c>
    </row>
    <row r="364" spans="1:6" x14ac:dyDescent="0.3">
      <c r="A364" s="5">
        <v>363</v>
      </c>
      <c r="B364" t="s">
        <v>1353</v>
      </c>
      <c r="C364" t="s">
        <v>1615</v>
      </c>
      <c r="D364" s="5">
        <v>2</v>
      </c>
      <c r="E364" s="5">
        <f t="shared" si="11"/>
        <v>0</v>
      </c>
      <c r="F364" s="5">
        <f t="shared" si="12"/>
        <v>2</v>
      </c>
    </row>
    <row r="365" spans="1:6" x14ac:dyDescent="0.3">
      <c r="A365" s="5">
        <v>364</v>
      </c>
      <c r="B365" t="s">
        <v>1610</v>
      </c>
      <c r="C365" t="s">
        <v>1616</v>
      </c>
      <c r="D365" s="5">
        <v>2</v>
      </c>
      <c r="E365" s="5">
        <f t="shared" si="11"/>
        <v>0</v>
      </c>
      <c r="F365" s="5">
        <f t="shared" si="12"/>
        <v>2</v>
      </c>
    </row>
    <row r="366" spans="1:6" x14ac:dyDescent="0.3">
      <c r="A366" s="5">
        <v>365</v>
      </c>
      <c r="C366" t="s">
        <v>1577</v>
      </c>
      <c r="D366" s="5">
        <v>2</v>
      </c>
      <c r="E366" s="5">
        <f t="shared" si="11"/>
        <v>0</v>
      </c>
      <c r="F366" s="5">
        <f t="shared" si="12"/>
        <v>2</v>
      </c>
    </row>
    <row r="367" spans="1:6" x14ac:dyDescent="0.3">
      <c r="A367" s="5">
        <v>366</v>
      </c>
    </row>
    <row r="368" spans="1:6" x14ac:dyDescent="0.3">
      <c r="A368" s="5">
        <v>367</v>
      </c>
    </row>
    <row r="369" spans="1:1" x14ac:dyDescent="0.3">
      <c r="A369" s="5">
        <v>368</v>
      </c>
    </row>
    <row r="370" spans="1:1" x14ac:dyDescent="0.3">
      <c r="A370" s="5">
        <v>369</v>
      </c>
    </row>
    <row r="371" spans="1:1" x14ac:dyDescent="0.3">
      <c r="A371" s="5">
        <v>370</v>
      </c>
    </row>
    <row r="372" spans="1:1" x14ac:dyDescent="0.3">
      <c r="A372" s="5">
        <v>371</v>
      </c>
    </row>
    <row r="373" spans="1:1" x14ac:dyDescent="0.3">
      <c r="A373" s="5">
        <v>372</v>
      </c>
    </row>
    <row r="374" spans="1:1" x14ac:dyDescent="0.3">
      <c r="A374" s="5">
        <v>373</v>
      </c>
    </row>
  </sheetData>
  <autoFilter ref="A1:N32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FF00"/>
  </sheetPr>
  <dimension ref="A1:M365"/>
  <sheetViews>
    <sheetView topLeftCell="A354" workbookViewId="0">
      <selection activeCell="E356" sqref="E356:E365"/>
    </sheetView>
  </sheetViews>
  <sheetFormatPr defaultRowHeight="14.4" x14ac:dyDescent="0.3"/>
  <cols>
    <col min="1" max="1" width="4" style="5" bestFit="1" customWidth="1"/>
    <col min="2" max="2" width="52.109375" style="8" bestFit="1" customWidth="1"/>
    <col min="3" max="3" width="15.33203125" style="5" bestFit="1" customWidth="1"/>
    <col min="4" max="4" width="14.109375" style="5" bestFit="1" customWidth="1"/>
    <col min="5" max="5" width="14.109375" style="5" customWidth="1"/>
    <col min="6" max="6" width="52.109375" style="8" bestFit="1" customWidth="1"/>
    <col min="7" max="7" width="14.109375" style="5" bestFit="1" customWidth="1"/>
    <col min="8" max="8" width="14.109375" style="5" customWidth="1"/>
    <col min="9" max="9" width="10.88671875" style="5" bestFit="1" customWidth="1"/>
    <col min="10" max="11" width="8.88671875" style="5"/>
    <col min="12" max="12" width="11.77734375" style="5" bestFit="1" customWidth="1"/>
    <col min="13" max="16384" width="8.88671875" style="5"/>
  </cols>
  <sheetData>
    <row r="1" spans="1:13" x14ac:dyDescent="0.3">
      <c r="A1" s="4" t="s">
        <v>0</v>
      </c>
      <c r="B1" s="13" t="s">
        <v>1</v>
      </c>
      <c r="C1" s="4" t="s">
        <v>422</v>
      </c>
      <c r="D1" s="4" t="s">
        <v>392</v>
      </c>
      <c r="E1" s="4" t="s">
        <v>405</v>
      </c>
      <c r="F1" s="13" t="s">
        <v>1</v>
      </c>
      <c r="G1" s="4" t="s">
        <v>423</v>
      </c>
      <c r="H1" s="4" t="s">
        <v>401</v>
      </c>
      <c r="I1" s="4" t="s">
        <v>396</v>
      </c>
      <c r="J1" s="4" t="s">
        <v>397</v>
      </c>
      <c r="K1" s="4" t="s">
        <v>398</v>
      </c>
      <c r="L1" s="4" t="s">
        <v>399</v>
      </c>
      <c r="M1" s="4" t="s">
        <v>400</v>
      </c>
    </row>
    <row r="2" spans="1:13" x14ac:dyDescent="0.3">
      <c r="A2" s="5">
        <v>1</v>
      </c>
      <c r="B2" s="8" t="s">
        <v>23</v>
      </c>
      <c r="D2" s="14">
        <f>SUMIF($F:$F,B2,$G:$G)</f>
        <v>0</v>
      </c>
      <c r="E2" s="14">
        <f>C2-D2</f>
        <v>0</v>
      </c>
      <c r="F2" s="8" t="s">
        <v>2</v>
      </c>
      <c r="G2" s="5">
        <v>1</v>
      </c>
      <c r="H2" s="5">
        <v>1</v>
      </c>
      <c r="I2" s="6"/>
    </row>
    <row r="3" spans="1:13" x14ac:dyDescent="0.3">
      <c r="A3" s="5">
        <v>2</v>
      </c>
      <c r="B3" s="8" t="s">
        <v>22</v>
      </c>
      <c r="D3" s="14">
        <f t="shared" ref="D3:D66" si="0">SUMIF($F:$F,B3,$G:$G)</f>
        <v>0</v>
      </c>
      <c r="E3" s="14">
        <f t="shared" ref="E3:E66" si="1">C3-D3</f>
        <v>0</v>
      </c>
      <c r="F3" s="8" t="s">
        <v>201</v>
      </c>
      <c r="G3" s="5">
        <v>1</v>
      </c>
      <c r="H3" s="5">
        <v>1</v>
      </c>
      <c r="I3" s="6"/>
    </row>
    <row r="4" spans="1:13" x14ac:dyDescent="0.3">
      <c r="A4" s="5">
        <v>3</v>
      </c>
      <c r="B4" s="8" t="s">
        <v>3</v>
      </c>
      <c r="D4" s="14">
        <f t="shared" si="0"/>
        <v>0</v>
      </c>
      <c r="E4" s="14">
        <f t="shared" si="1"/>
        <v>0</v>
      </c>
      <c r="F4" s="8" t="s">
        <v>201</v>
      </c>
      <c r="G4" s="5">
        <v>1</v>
      </c>
      <c r="H4" s="5">
        <v>2</v>
      </c>
      <c r="I4" s="6"/>
    </row>
    <row r="5" spans="1:13" x14ac:dyDescent="0.3">
      <c r="A5" s="5">
        <v>4</v>
      </c>
      <c r="B5" s="8" t="s">
        <v>4</v>
      </c>
      <c r="D5" s="14">
        <f t="shared" si="0"/>
        <v>0</v>
      </c>
      <c r="E5" s="14">
        <f t="shared" si="1"/>
        <v>0</v>
      </c>
      <c r="I5" s="6"/>
    </row>
    <row r="6" spans="1:13" x14ac:dyDescent="0.3">
      <c r="A6" s="5">
        <v>5</v>
      </c>
      <c r="B6" s="8" t="s">
        <v>2</v>
      </c>
      <c r="C6" s="5">
        <v>14</v>
      </c>
      <c r="D6" s="14">
        <f t="shared" si="0"/>
        <v>1</v>
      </c>
      <c r="E6" s="14">
        <f t="shared" si="1"/>
        <v>13</v>
      </c>
      <c r="I6" s="6"/>
    </row>
    <row r="7" spans="1:13" x14ac:dyDescent="0.3">
      <c r="A7" s="5">
        <v>6</v>
      </c>
      <c r="B7" s="8" t="s">
        <v>9</v>
      </c>
      <c r="D7" s="14">
        <f t="shared" si="0"/>
        <v>0</v>
      </c>
      <c r="E7" s="14">
        <f t="shared" si="1"/>
        <v>0</v>
      </c>
      <c r="I7" s="6"/>
    </row>
    <row r="8" spans="1:13" x14ac:dyDescent="0.3">
      <c r="A8" s="5">
        <v>7</v>
      </c>
      <c r="B8" s="8" t="s">
        <v>14</v>
      </c>
      <c r="D8" s="14">
        <f t="shared" si="0"/>
        <v>0</v>
      </c>
      <c r="E8" s="14">
        <f t="shared" si="1"/>
        <v>0</v>
      </c>
      <c r="I8" s="6"/>
    </row>
    <row r="9" spans="1:13" x14ac:dyDescent="0.3">
      <c r="A9" s="5">
        <v>8</v>
      </c>
      <c r="B9" s="8" t="s">
        <v>8</v>
      </c>
      <c r="D9" s="14">
        <f t="shared" si="0"/>
        <v>0</v>
      </c>
      <c r="E9" s="14">
        <f t="shared" si="1"/>
        <v>0</v>
      </c>
      <c r="I9" s="6"/>
    </row>
    <row r="10" spans="1:13" x14ac:dyDescent="0.3">
      <c r="A10" s="5">
        <v>9</v>
      </c>
      <c r="B10" s="8" t="s">
        <v>20</v>
      </c>
      <c r="D10" s="14">
        <f t="shared" si="0"/>
        <v>0</v>
      </c>
      <c r="E10" s="14">
        <f t="shared" si="1"/>
        <v>0</v>
      </c>
      <c r="I10" s="6"/>
    </row>
    <row r="11" spans="1:13" x14ac:dyDescent="0.3">
      <c r="A11" s="5">
        <v>10</v>
      </c>
      <c r="B11" s="8" t="s">
        <v>17</v>
      </c>
      <c r="D11" s="14">
        <f t="shared" si="0"/>
        <v>0</v>
      </c>
      <c r="E11" s="14">
        <f t="shared" si="1"/>
        <v>0</v>
      </c>
      <c r="I11" s="6"/>
    </row>
    <row r="12" spans="1:13" x14ac:dyDescent="0.3">
      <c r="A12" s="5">
        <v>11</v>
      </c>
      <c r="B12" s="8" t="s">
        <v>21</v>
      </c>
      <c r="D12" s="14">
        <f t="shared" si="0"/>
        <v>0</v>
      </c>
      <c r="E12" s="14">
        <f t="shared" si="1"/>
        <v>0</v>
      </c>
      <c r="I12" s="6"/>
    </row>
    <row r="13" spans="1:13" x14ac:dyDescent="0.3">
      <c r="A13" s="5">
        <v>12</v>
      </c>
      <c r="B13" s="8" t="s">
        <v>11</v>
      </c>
      <c r="D13" s="14">
        <f t="shared" si="0"/>
        <v>0</v>
      </c>
      <c r="E13" s="14">
        <f t="shared" si="1"/>
        <v>0</v>
      </c>
      <c r="I13" s="6"/>
    </row>
    <row r="14" spans="1:13" x14ac:dyDescent="0.3">
      <c r="A14" s="5">
        <v>13</v>
      </c>
      <c r="B14" s="8" t="s">
        <v>19</v>
      </c>
      <c r="D14" s="14">
        <f t="shared" si="0"/>
        <v>0</v>
      </c>
      <c r="E14" s="14">
        <f t="shared" si="1"/>
        <v>0</v>
      </c>
      <c r="I14" s="6"/>
    </row>
    <row r="15" spans="1:13" x14ac:dyDescent="0.3">
      <c r="A15" s="5">
        <v>14</v>
      </c>
      <c r="B15" s="8" t="s">
        <v>601</v>
      </c>
      <c r="D15" s="14">
        <f t="shared" si="0"/>
        <v>0</v>
      </c>
      <c r="E15" s="14">
        <f t="shared" si="1"/>
        <v>0</v>
      </c>
      <c r="I15" s="6"/>
    </row>
    <row r="16" spans="1:13" x14ac:dyDescent="0.3">
      <c r="A16" s="5">
        <v>15</v>
      </c>
      <c r="B16" s="8" t="s">
        <v>24</v>
      </c>
      <c r="D16" s="14">
        <f t="shared" si="0"/>
        <v>0</v>
      </c>
      <c r="E16" s="14">
        <f t="shared" si="1"/>
        <v>0</v>
      </c>
      <c r="I16" s="6"/>
    </row>
    <row r="17" spans="1:9" x14ac:dyDescent="0.3">
      <c r="A17" s="5">
        <v>16</v>
      </c>
      <c r="B17" s="8" t="s">
        <v>32</v>
      </c>
      <c r="D17" s="14">
        <f t="shared" si="0"/>
        <v>0</v>
      </c>
      <c r="E17" s="14">
        <f t="shared" si="1"/>
        <v>0</v>
      </c>
      <c r="I17" s="6"/>
    </row>
    <row r="18" spans="1:9" x14ac:dyDescent="0.3">
      <c r="A18" s="5">
        <v>17</v>
      </c>
      <c r="B18" s="8" t="s">
        <v>33</v>
      </c>
      <c r="D18" s="14">
        <f t="shared" si="0"/>
        <v>0</v>
      </c>
      <c r="E18" s="14">
        <f t="shared" si="1"/>
        <v>0</v>
      </c>
      <c r="I18" s="6"/>
    </row>
    <row r="19" spans="1:9" x14ac:dyDescent="0.3">
      <c r="A19" s="5">
        <v>18</v>
      </c>
      <c r="B19" s="8" t="s">
        <v>7</v>
      </c>
      <c r="D19" s="14">
        <f t="shared" si="0"/>
        <v>0</v>
      </c>
      <c r="E19" s="14">
        <f t="shared" si="1"/>
        <v>0</v>
      </c>
      <c r="I19" s="6"/>
    </row>
    <row r="20" spans="1:9" x14ac:dyDescent="0.3">
      <c r="A20" s="5">
        <v>19</v>
      </c>
      <c r="B20" s="8" t="s">
        <v>10</v>
      </c>
      <c r="D20" s="14">
        <f t="shared" si="0"/>
        <v>0</v>
      </c>
      <c r="E20" s="14">
        <f t="shared" si="1"/>
        <v>0</v>
      </c>
      <c r="I20" s="6"/>
    </row>
    <row r="21" spans="1:9" x14ac:dyDescent="0.3">
      <c r="A21" s="5">
        <v>20</v>
      </c>
      <c r="B21" s="8" t="s">
        <v>6</v>
      </c>
      <c r="D21" s="14">
        <f t="shared" si="0"/>
        <v>0</v>
      </c>
      <c r="E21" s="14">
        <f t="shared" si="1"/>
        <v>0</v>
      </c>
      <c r="I21" s="6"/>
    </row>
    <row r="22" spans="1:9" x14ac:dyDescent="0.3">
      <c r="A22" s="5">
        <v>21</v>
      </c>
      <c r="B22" s="8" t="s">
        <v>41</v>
      </c>
      <c r="D22" s="14">
        <f t="shared" si="0"/>
        <v>0</v>
      </c>
      <c r="E22" s="14">
        <f t="shared" si="1"/>
        <v>0</v>
      </c>
      <c r="I22" s="6"/>
    </row>
    <row r="23" spans="1:9" x14ac:dyDescent="0.3">
      <c r="A23" s="5">
        <v>22</v>
      </c>
      <c r="B23" s="8" t="s">
        <v>44</v>
      </c>
      <c r="D23" s="14">
        <f t="shared" si="0"/>
        <v>0</v>
      </c>
      <c r="E23" s="14">
        <f t="shared" si="1"/>
        <v>0</v>
      </c>
      <c r="I23" s="6"/>
    </row>
    <row r="24" spans="1:9" x14ac:dyDescent="0.3">
      <c r="A24" s="5">
        <v>23</v>
      </c>
      <c r="B24" s="8" t="s">
        <v>602</v>
      </c>
      <c r="D24" s="14">
        <f t="shared" si="0"/>
        <v>0</v>
      </c>
      <c r="E24" s="14">
        <f t="shared" si="1"/>
        <v>0</v>
      </c>
      <c r="I24" s="6"/>
    </row>
    <row r="25" spans="1:9" x14ac:dyDescent="0.3">
      <c r="A25" s="5">
        <v>24</v>
      </c>
      <c r="B25" s="8" t="s">
        <v>12</v>
      </c>
      <c r="D25" s="14">
        <f t="shared" si="0"/>
        <v>0</v>
      </c>
      <c r="E25" s="14">
        <f t="shared" si="1"/>
        <v>0</v>
      </c>
      <c r="I25" s="6"/>
    </row>
    <row r="26" spans="1:9" x14ac:dyDescent="0.3">
      <c r="A26" s="5">
        <v>25</v>
      </c>
      <c r="B26" s="8" t="s">
        <v>36</v>
      </c>
      <c r="D26" s="14">
        <f t="shared" si="0"/>
        <v>0</v>
      </c>
      <c r="E26" s="14">
        <f t="shared" si="1"/>
        <v>0</v>
      </c>
      <c r="I26" s="6"/>
    </row>
    <row r="27" spans="1:9" x14ac:dyDescent="0.3">
      <c r="A27" s="5">
        <v>26</v>
      </c>
      <c r="B27" s="8" t="s">
        <v>83</v>
      </c>
      <c r="D27" s="14">
        <f t="shared" si="0"/>
        <v>0</v>
      </c>
      <c r="E27" s="14">
        <f t="shared" si="1"/>
        <v>0</v>
      </c>
      <c r="I27" s="6"/>
    </row>
    <row r="28" spans="1:9" x14ac:dyDescent="0.3">
      <c r="A28" s="5">
        <v>27</v>
      </c>
      <c r="B28" s="8" t="s">
        <v>57</v>
      </c>
      <c r="D28" s="14">
        <f t="shared" si="0"/>
        <v>0</v>
      </c>
      <c r="E28" s="14">
        <f t="shared" si="1"/>
        <v>0</v>
      </c>
      <c r="I28" s="6"/>
    </row>
    <row r="29" spans="1:9" x14ac:dyDescent="0.3">
      <c r="A29" s="5">
        <v>28</v>
      </c>
      <c r="B29" s="8" t="s">
        <v>39</v>
      </c>
      <c r="D29" s="14">
        <f t="shared" si="0"/>
        <v>0</v>
      </c>
      <c r="E29" s="14">
        <f t="shared" si="1"/>
        <v>0</v>
      </c>
      <c r="I29" s="6"/>
    </row>
    <row r="30" spans="1:9" x14ac:dyDescent="0.3">
      <c r="A30" s="5">
        <v>29</v>
      </c>
      <c r="B30" s="8" t="s">
        <v>49</v>
      </c>
      <c r="D30" s="14">
        <f t="shared" si="0"/>
        <v>0</v>
      </c>
      <c r="E30" s="14">
        <f t="shared" si="1"/>
        <v>0</v>
      </c>
      <c r="I30" s="6"/>
    </row>
    <row r="31" spans="1:9" x14ac:dyDescent="0.3">
      <c r="A31" s="5">
        <v>30</v>
      </c>
      <c r="B31" s="8" t="s">
        <v>45</v>
      </c>
      <c r="D31" s="14">
        <f t="shared" si="0"/>
        <v>0</v>
      </c>
      <c r="E31" s="14">
        <f t="shared" si="1"/>
        <v>0</v>
      </c>
      <c r="I31" s="6"/>
    </row>
    <row r="32" spans="1:9" x14ac:dyDescent="0.3">
      <c r="A32" s="5">
        <v>31</v>
      </c>
      <c r="B32" s="8" t="s">
        <v>18</v>
      </c>
      <c r="D32" s="14">
        <f t="shared" si="0"/>
        <v>0</v>
      </c>
      <c r="E32" s="14">
        <f t="shared" si="1"/>
        <v>0</v>
      </c>
      <c r="I32" s="6"/>
    </row>
    <row r="33" spans="1:9" x14ac:dyDescent="0.3">
      <c r="A33" s="5">
        <v>32</v>
      </c>
      <c r="B33" s="8" t="s">
        <v>43</v>
      </c>
      <c r="D33" s="14">
        <f t="shared" si="0"/>
        <v>0</v>
      </c>
      <c r="E33" s="14">
        <f t="shared" si="1"/>
        <v>0</v>
      </c>
      <c r="I33" s="6"/>
    </row>
    <row r="34" spans="1:9" x14ac:dyDescent="0.3">
      <c r="A34" s="5">
        <v>33</v>
      </c>
      <c r="B34" s="8" t="s">
        <v>80</v>
      </c>
      <c r="D34" s="14">
        <f t="shared" si="0"/>
        <v>0</v>
      </c>
      <c r="E34" s="14">
        <f t="shared" si="1"/>
        <v>0</v>
      </c>
      <c r="I34" s="6"/>
    </row>
    <row r="35" spans="1:9" x14ac:dyDescent="0.3">
      <c r="A35" s="5">
        <v>34</v>
      </c>
      <c r="B35" s="8" t="s">
        <v>35</v>
      </c>
      <c r="D35" s="14">
        <f t="shared" si="0"/>
        <v>0</v>
      </c>
      <c r="E35" s="14">
        <f t="shared" si="1"/>
        <v>0</v>
      </c>
      <c r="I35" s="6"/>
    </row>
    <row r="36" spans="1:9" x14ac:dyDescent="0.3">
      <c r="A36" s="5">
        <v>35</v>
      </c>
      <c r="B36" s="8" t="s">
        <v>30</v>
      </c>
      <c r="D36" s="14">
        <f t="shared" si="0"/>
        <v>0</v>
      </c>
      <c r="E36" s="14">
        <f t="shared" si="1"/>
        <v>0</v>
      </c>
      <c r="I36" s="6"/>
    </row>
    <row r="37" spans="1:9" x14ac:dyDescent="0.3">
      <c r="A37" s="5">
        <v>36</v>
      </c>
      <c r="B37" s="8" t="s">
        <v>62</v>
      </c>
      <c r="D37" s="14">
        <f t="shared" si="0"/>
        <v>0</v>
      </c>
      <c r="E37" s="14">
        <f t="shared" si="1"/>
        <v>0</v>
      </c>
      <c r="I37" s="6"/>
    </row>
    <row r="38" spans="1:9" x14ac:dyDescent="0.3">
      <c r="A38" s="5">
        <v>37</v>
      </c>
      <c r="B38" s="8" t="s">
        <v>54</v>
      </c>
      <c r="D38" s="14">
        <f t="shared" si="0"/>
        <v>0</v>
      </c>
      <c r="E38" s="14">
        <f t="shared" si="1"/>
        <v>0</v>
      </c>
      <c r="I38" s="6"/>
    </row>
    <row r="39" spans="1:9" x14ac:dyDescent="0.3">
      <c r="A39" s="5">
        <v>38</v>
      </c>
      <c r="B39" s="8" t="s">
        <v>29</v>
      </c>
      <c r="D39" s="14">
        <f t="shared" si="0"/>
        <v>0</v>
      </c>
      <c r="E39" s="14">
        <f t="shared" si="1"/>
        <v>0</v>
      </c>
      <c r="I39" s="6"/>
    </row>
    <row r="40" spans="1:9" x14ac:dyDescent="0.3">
      <c r="A40" s="5">
        <v>39</v>
      </c>
      <c r="B40" s="8" t="s">
        <v>60</v>
      </c>
      <c r="D40" s="14">
        <f t="shared" si="0"/>
        <v>0</v>
      </c>
      <c r="E40" s="14">
        <f t="shared" si="1"/>
        <v>0</v>
      </c>
      <c r="I40" s="6"/>
    </row>
    <row r="41" spans="1:9" x14ac:dyDescent="0.3">
      <c r="A41" s="5">
        <v>40</v>
      </c>
      <c r="B41" s="8" t="s">
        <v>31</v>
      </c>
      <c r="D41" s="14">
        <f t="shared" si="0"/>
        <v>0</v>
      </c>
      <c r="E41" s="14">
        <f t="shared" si="1"/>
        <v>0</v>
      </c>
      <c r="I41" s="6"/>
    </row>
    <row r="42" spans="1:9" x14ac:dyDescent="0.3">
      <c r="A42" s="5">
        <v>41</v>
      </c>
      <c r="B42" s="8" t="s">
        <v>37</v>
      </c>
      <c r="D42" s="14">
        <f t="shared" si="0"/>
        <v>0</v>
      </c>
      <c r="E42" s="14">
        <f t="shared" si="1"/>
        <v>0</v>
      </c>
      <c r="I42" s="6"/>
    </row>
    <row r="43" spans="1:9" x14ac:dyDescent="0.3">
      <c r="A43" s="5">
        <v>42</v>
      </c>
      <c r="B43" s="8" t="s">
        <v>67</v>
      </c>
      <c r="D43" s="14">
        <f t="shared" si="0"/>
        <v>0</v>
      </c>
      <c r="E43" s="14">
        <f t="shared" si="1"/>
        <v>0</v>
      </c>
      <c r="I43" s="6"/>
    </row>
    <row r="44" spans="1:9" x14ac:dyDescent="0.3">
      <c r="A44" s="5">
        <v>43</v>
      </c>
      <c r="B44" s="8" t="s">
        <v>25</v>
      </c>
      <c r="D44" s="14">
        <f t="shared" si="0"/>
        <v>0</v>
      </c>
      <c r="E44" s="14">
        <f t="shared" si="1"/>
        <v>0</v>
      </c>
      <c r="I44" s="6"/>
    </row>
    <row r="45" spans="1:9" x14ac:dyDescent="0.3">
      <c r="A45" s="5">
        <v>44</v>
      </c>
      <c r="B45" s="8" t="s">
        <v>16</v>
      </c>
      <c r="D45" s="14">
        <f t="shared" si="0"/>
        <v>0</v>
      </c>
      <c r="E45" s="14">
        <f t="shared" si="1"/>
        <v>0</v>
      </c>
      <c r="I45" s="6"/>
    </row>
    <row r="46" spans="1:9" x14ac:dyDescent="0.3">
      <c r="A46" s="5">
        <v>45</v>
      </c>
      <c r="B46" s="8" t="s">
        <v>59</v>
      </c>
      <c r="D46" s="14">
        <f t="shared" si="0"/>
        <v>0</v>
      </c>
      <c r="E46" s="14">
        <f t="shared" si="1"/>
        <v>0</v>
      </c>
      <c r="I46" s="6"/>
    </row>
    <row r="47" spans="1:9" x14ac:dyDescent="0.3">
      <c r="A47" s="5">
        <v>46</v>
      </c>
      <c r="B47" s="8" t="s">
        <v>47</v>
      </c>
      <c r="D47" s="14">
        <f t="shared" si="0"/>
        <v>0</v>
      </c>
      <c r="E47" s="14">
        <f t="shared" si="1"/>
        <v>0</v>
      </c>
      <c r="I47" s="6"/>
    </row>
    <row r="48" spans="1:9" x14ac:dyDescent="0.3">
      <c r="A48" s="5">
        <v>47</v>
      </c>
      <c r="B48" s="8" t="s">
        <v>53</v>
      </c>
      <c r="D48" s="14">
        <f t="shared" si="0"/>
        <v>0</v>
      </c>
      <c r="E48" s="14">
        <f t="shared" si="1"/>
        <v>0</v>
      </c>
      <c r="I48" s="6"/>
    </row>
    <row r="49" spans="1:9" x14ac:dyDescent="0.3">
      <c r="A49" s="5">
        <v>48</v>
      </c>
      <c r="B49" s="8" t="s">
        <v>61</v>
      </c>
      <c r="D49" s="14">
        <f t="shared" si="0"/>
        <v>0</v>
      </c>
      <c r="E49" s="14">
        <f t="shared" si="1"/>
        <v>0</v>
      </c>
      <c r="I49" s="6"/>
    </row>
    <row r="50" spans="1:9" x14ac:dyDescent="0.3">
      <c r="A50" s="5">
        <v>49</v>
      </c>
      <c r="B50" s="8" t="s">
        <v>13</v>
      </c>
      <c r="D50" s="14">
        <f t="shared" si="0"/>
        <v>0</v>
      </c>
      <c r="E50" s="14">
        <f t="shared" si="1"/>
        <v>0</v>
      </c>
      <c r="I50" s="6"/>
    </row>
    <row r="51" spans="1:9" x14ac:dyDescent="0.3">
      <c r="A51" s="5">
        <v>50</v>
      </c>
      <c r="B51" s="8" t="s">
        <v>68</v>
      </c>
      <c r="D51" s="14">
        <f t="shared" si="0"/>
        <v>0</v>
      </c>
      <c r="E51" s="14">
        <f t="shared" si="1"/>
        <v>0</v>
      </c>
      <c r="I51" s="6"/>
    </row>
    <row r="52" spans="1:9" x14ac:dyDescent="0.3">
      <c r="A52" s="5">
        <v>51</v>
      </c>
      <c r="B52" s="8" t="s">
        <v>65</v>
      </c>
      <c r="D52" s="14">
        <f t="shared" si="0"/>
        <v>0</v>
      </c>
      <c r="E52" s="14">
        <f t="shared" si="1"/>
        <v>0</v>
      </c>
      <c r="I52" s="6"/>
    </row>
    <row r="53" spans="1:9" x14ac:dyDescent="0.3">
      <c r="A53" s="5">
        <v>52</v>
      </c>
      <c r="B53" s="8" t="s">
        <v>81</v>
      </c>
      <c r="D53" s="14">
        <f t="shared" si="0"/>
        <v>0</v>
      </c>
      <c r="E53" s="14">
        <f t="shared" si="1"/>
        <v>0</v>
      </c>
      <c r="I53" s="6"/>
    </row>
    <row r="54" spans="1:9" x14ac:dyDescent="0.3">
      <c r="A54" s="5">
        <v>53</v>
      </c>
      <c r="B54" s="8" t="s">
        <v>72</v>
      </c>
      <c r="D54" s="14">
        <f t="shared" si="0"/>
        <v>0</v>
      </c>
      <c r="E54" s="14">
        <f t="shared" si="1"/>
        <v>0</v>
      </c>
      <c r="I54" s="6"/>
    </row>
    <row r="55" spans="1:9" x14ac:dyDescent="0.3">
      <c r="A55" s="5">
        <v>54</v>
      </c>
      <c r="B55" s="8" t="s">
        <v>74</v>
      </c>
      <c r="D55" s="14">
        <f t="shared" si="0"/>
        <v>0</v>
      </c>
      <c r="E55" s="14">
        <f t="shared" si="1"/>
        <v>0</v>
      </c>
      <c r="I55" s="6"/>
    </row>
    <row r="56" spans="1:9" x14ac:dyDescent="0.3">
      <c r="A56" s="5">
        <v>55</v>
      </c>
      <c r="B56" s="8" t="s">
        <v>58</v>
      </c>
      <c r="D56" s="14">
        <f t="shared" si="0"/>
        <v>0</v>
      </c>
      <c r="E56" s="14">
        <f t="shared" si="1"/>
        <v>0</v>
      </c>
      <c r="I56" s="6"/>
    </row>
    <row r="57" spans="1:9" x14ac:dyDescent="0.3">
      <c r="A57" s="5">
        <v>56</v>
      </c>
      <c r="B57" s="8" t="s">
        <v>64</v>
      </c>
      <c r="D57" s="14">
        <f t="shared" si="0"/>
        <v>0</v>
      </c>
      <c r="E57" s="14">
        <f t="shared" si="1"/>
        <v>0</v>
      </c>
      <c r="I57" s="6"/>
    </row>
    <row r="58" spans="1:9" x14ac:dyDescent="0.3">
      <c r="A58" s="5">
        <v>57</v>
      </c>
      <c r="B58" s="8" t="s">
        <v>27</v>
      </c>
      <c r="D58" s="14">
        <f t="shared" si="0"/>
        <v>0</v>
      </c>
      <c r="E58" s="14">
        <f t="shared" si="1"/>
        <v>0</v>
      </c>
      <c r="I58" s="6"/>
    </row>
    <row r="59" spans="1:9" x14ac:dyDescent="0.3">
      <c r="A59" s="5">
        <v>58</v>
      </c>
      <c r="B59" s="8" t="s">
        <v>34</v>
      </c>
      <c r="D59" s="14">
        <f t="shared" si="0"/>
        <v>0</v>
      </c>
      <c r="E59" s="14">
        <f t="shared" si="1"/>
        <v>0</v>
      </c>
      <c r="I59" s="6"/>
    </row>
    <row r="60" spans="1:9" x14ac:dyDescent="0.3">
      <c r="A60" s="5">
        <v>59</v>
      </c>
      <c r="B60" s="8" t="s">
        <v>71</v>
      </c>
      <c r="D60" s="14">
        <f t="shared" si="0"/>
        <v>0</v>
      </c>
      <c r="E60" s="14">
        <f t="shared" si="1"/>
        <v>0</v>
      </c>
      <c r="I60" s="6"/>
    </row>
    <row r="61" spans="1:9" x14ac:dyDescent="0.3">
      <c r="A61" s="5">
        <v>60</v>
      </c>
      <c r="B61" s="8" t="s">
        <v>425</v>
      </c>
      <c r="D61" s="14">
        <f t="shared" si="0"/>
        <v>0</v>
      </c>
      <c r="E61" s="14">
        <f t="shared" si="1"/>
        <v>0</v>
      </c>
      <c r="I61" s="6"/>
    </row>
    <row r="62" spans="1:9" x14ac:dyDescent="0.3">
      <c r="A62" s="5">
        <v>61</v>
      </c>
      <c r="B62" s="8" t="s">
        <v>82</v>
      </c>
      <c r="D62" s="14">
        <f t="shared" si="0"/>
        <v>0</v>
      </c>
      <c r="E62" s="14">
        <f t="shared" si="1"/>
        <v>0</v>
      </c>
      <c r="I62" s="6"/>
    </row>
    <row r="63" spans="1:9" x14ac:dyDescent="0.3">
      <c r="A63" s="5">
        <v>62</v>
      </c>
      <c r="B63" s="8" t="s">
        <v>84</v>
      </c>
      <c r="D63" s="14">
        <f t="shared" si="0"/>
        <v>0</v>
      </c>
      <c r="E63" s="14">
        <f t="shared" si="1"/>
        <v>0</v>
      </c>
      <c r="I63" s="6"/>
    </row>
    <row r="64" spans="1:9" x14ac:dyDescent="0.3">
      <c r="A64" s="5">
        <v>63</v>
      </c>
      <c r="B64" s="8" t="s">
        <v>38</v>
      </c>
      <c r="D64" s="14">
        <f t="shared" si="0"/>
        <v>0</v>
      </c>
      <c r="E64" s="14">
        <f t="shared" si="1"/>
        <v>0</v>
      </c>
      <c r="I64" s="6"/>
    </row>
    <row r="65" spans="1:9" x14ac:dyDescent="0.3">
      <c r="A65" s="5">
        <v>64</v>
      </c>
      <c r="B65" s="8" t="s">
        <v>90</v>
      </c>
      <c r="D65" s="14">
        <f t="shared" si="0"/>
        <v>0</v>
      </c>
      <c r="E65" s="14">
        <f t="shared" si="1"/>
        <v>0</v>
      </c>
      <c r="I65" s="6"/>
    </row>
    <row r="66" spans="1:9" x14ac:dyDescent="0.3">
      <c r="A66" s="5">
        <v>65</v>
      </c>
      <c r="B66" s="8" t="s">
        <v>28</v>
      </c>
      <c r="D66" s="14">
        <f t="shared" si="0"/>
        <v>0</v>
      </c>
      <c r="E66" s="14">
        <f t="shared" si="1"/>
        <v>0</v>
      </c>
      <c r="I66" s="6"/>
    </row>
    <row r="67" spans="1:9" x14ac:dyDescent="0.3">
      <c r="A67" s="5">
        <v>66</v>
      </c>
      <c r="B67" s="8" t="s">
        <v>70</v>
      </c>
      <c r="D67" s="14">
        <f t="shared" ref="D67:D130" si="2">SUMIF($F:$F,B67,$G:$G)</f>
        <v>0</v>
      </c>
      <c r="E67" s="14">
        <f t="shared" ref="E67:E130" si="3">C67-D67</f>
        <v>0</v>
      </c>
      <c r="I67" s="6"/>
    </row>
    <row r="68" spans="1:9" x14ac:dyDescent="0.3">
      <c r="A68" s="5">
        <v>67</v>
      </c>
      <c r="B68" s="8" t="s">
        <v>88</v>
      </c>
      <c r="D68" s="14">
        <f t="shared" si="2"/>
        <v>0</v>
      </c>
      <c r="E68" s="14">
        <f t="shared" si="3"/>
        <v>0</v>
      </c>
      <c r="I68" s="6"/>
    </row>
    <row r="69" spans="1:9" x14ac:dyDescent="0.3">
      <c r="A69" s="5">
        <v>68</v>
      </c>
      <c r="B69" s="8" t="s">
        <v>50</v>
      </c>
      <c r="D69" s="14">
        <f t="shared" si="2"/>
        <v>0</v>
      </c>
      <c r="E69" s="14">
        <f t="shared" si="3"/>
        <v>0</v>
      </c>
      <c r="I69" s="6"/>
    </row>
    <row r="70" spans="1:9" x14ac:dyDescent="0.3">
      <c r="A70" s="5">
        <v>69</v>
      </c>
      <c r="B70" s="8" t="s">
        <v>91</v>
      </c>
      <c r="D70" s="14">
        <f t="shared" si="2"/>
        <v>0</v>
      </c>
      <c r="E70" s="14">
        <f t="shared" si="3"/>
        <v>0</v>
      </c>
      <c r="I70" s="6"/>
    </row>
    <row r="71" spans="1:9" x14ac:dyDescent="0.3">
      <c r="A71" s="5">
        <v>70</v>
      </c>
      <c r="B71" s="8" t="s">
        <v>15</v>
      </c>
      <c r="D71" s="14">
        <f t="shared" si="2"/>
        <v>0</v>
      </c>
      <c r="E71" s="14">
        <f t="shared" si="3"/>
        <v>0</v>
      </c>
      <c r="I71" s="6"/>
    </row>
    <row r="72" spans="1:9" x14ac:dyDescent="0.3">
      <c r="A72" s="5">
        <v>71</v>
      </c>
      <c r="B72" s="8" t="s">
        <v>62</v>
      </c>
      <c r="D72" s="14">
        <f t="shared" si="2"/>
        <v>0</v>
      </c>
      <c r="E72" s="14">
        <f t="shared" si="3"/>
        <v>0</v>
      </c>
      <c r="I72" s="6"/>
    </row>
    <row r="73" spans="1:9" x14ac:dyDescent="0.3">
      <c r="A73" s="5">
        <v>72</v>
      </c>
      <c r="B73" s="8" t="s">
        <v>86</v>
      </c>
      <c r="D73" s="14">
        <f t="shared" si="2"/>
        <v>0</v>
      </c>
      <c r="E73" s="14">
        <f t="shared" si="3"/>
        <v>0</v>
      </c>
      <c r="I73" s="6"/>
    </row>
    <row r="74" spans="1:9" x14ac:dyDescent="0.3">
      <c r="A74" s="5">
        <v>73</v>
      </c>
      <c r="B74" s="8" t="s">
        <v>95</v>
      </c>
      <c r="D74" s="14">
        <f t="shared" si="2"/>
        <v>0</v>
      </c>
      <c r="E74" s="14">
        <f t="shared" si="3"/>
        <v>0</v>
      </c>
      <c r="I74" s="6"/>
    </row>
    <row r="75" spans="1:9" x14ac:dyDescent="0.3">
      <c r="A75" s="5">
        <v>74</v>
      </c>
      <c r="B75" s="8" t="s">
        <v>26</v>
      </c>
      <c r="D75" s="14">
        <f t="shared" si="2"/>
        <v>0</v>
      </c>
      <c r="E75" s="14">
        <f t="shared" si="3"/>
        <v>0</v>
      </c>
      <c r="I75" s="6"/>
    </row>
    <row r="76" spans="1:9" x14ac:dyDescent="0.3">
      <c r="A76" s="5">
        <v>75</v>
      </c>
      <c r="B76" s="8" t="s">
        <v>76</v>
      </c>
      <c r="D76" s="14">
        <f t="shared" si="2"/>
        <v>0</v>
      </c>
      <c r="E76" s="14">
        <f t="shared" si="3"/>
        <v>0</v>
      </c>
      <c r="I76" s="6"/>
    </row>
    <row r="77" spans="1:9" x14ac:dyDescent="0.3">
      <c r="A77" s="5">
        <v>76</v>
      </c>
      <c r="B77" s="8" t="s">
        <v>48</v>
      </c>
      <c r="D77" s="14">
        <f t="shared" si="2"/>
        <v>0</v>
      </c>
      <c r="E77" s="14">
        <f t="shared" si="3"/>
        <v>0</v>
      </c>
      <c r="I77" s="6"/>
    </row>
    <row r="78" spans="1:9" x14ac:dyDescent="0.3">
      <c r="A78" s="5">
        <v>77</v>
      </c>
      <c r="B78" s="8" t="s">
        <v>69</v>
      </c>
      <c r="D78" s="14">
        <f t="shared" si="2"/>
        <v>0</v>
      </c>
      <c r="E78" s="14">
        <f t="shared" si="3"/>
        <v>0</v>
      </c>
      <c r="I78" s="6"/>
    </row>
    <row r="79" spans="1:9" x14ac:dyDescent="0.3">
      <c r="A79" s="5">
        <v>78</v>
      </c>
      <c r="B79" s="8" t="s">
        <v>75</v>
      </c>
      <c r="D79" s="14">
        <f t="shared" si="2"/>
        <v>0</v>
      </c>
      <c r="E79" s="14">
        <f t="shared" si="3"/>
        <v>0</v>
      </c>
      <c r="I79" s="6"/>
    </row>
    <row r="80" spans="1:9" x14ac:dyDescent="0.3">
      <c r="A80" s="5">
        <v>79</v>
      </c>
      <c r="B80" s="8" t="s">
        <v>85</v>
      </c>
      <c r="D80" s="14">
        <f t="shared" si="2"/>
        <v>0</v>
      </c>
      <c r="E80" s="14">
        <f t="shared" si="3"/>
        <v>0</v>
      </c>
      <c r="I80" s="6"/>
    </row>
    <row r="81" spans="1:9" x14ac:dyDescent="0.3">
      <c r="A81" s="5">
        <v>80</v>
      </c>
      <c r="B81" s="8" t="s">
        <v>138</v>
      </c>
      <c r="D81" s="14">
        <f t="shared" si="2"/>
        <v>0</v>
      </c>
      <c r="E81" s="14">
        <f t="shared" si="3"/>
        <v>0</v>
      </c>
      <c r="I81" s="6"/>
    </row>
    <row r="82" spans="1:9" x14ac:dyDescent="0.3">
      <c r="A82" s="5">
        <v>81</v>
      </c>
      <c r="B82" s="8" t="s">
        <v>99</v>
      </c>
      <c r="D82" s="14">
        <f t="shared" si="2"/>
        <v>0</v>
      </c>
      <c r="E82" s="14">
        <f t="shared" si="3"/>
        <v>0</v>
      </c>
      <c r="I82" s="6"/>
    </row>
    <row r="83" spans="1:9" x14ac:dyDescent="0.3">
      <c r="A83" s="5">
        <v>82</v>
      </c>
      <c r="B83" s="8" t="s">
        <v>96</v>
      </c>
      <c r="D83" s="14">
        <f t="shared" si="2"/>
        <v>0</v>
      </c>
      <c r="E83" s="14">
        <f t="shared" si="3"/>
        <v>0</v>
      </c>
      <c r="I83" s="6"/>
    </row>
    <row r="84" spans="1:9" x14ac:dyDescent="0.3">
      <c r="A84" s="5">
        <v>83</v>
      </c>
      <c r="B84" s="8" t="s">
        <v>426</v>
      </c>
      <c r="D84" s="14">
        <f t="shared" si="2"/>
        <v>0</v>
      </c>
      <c r="E84" s="14">
        <f t="shared" si="3"/>
        <v>0</v>
      </c>
      <c r="I84" s="6"/>
    </row>
    <row r="85" spans="1:9" x14ac:dyDescent="0.3">
      <c r="A85" s="5">
        <v>84</v>
      </c>
      <c r="B85" s="8" t="s">
        <v>92</v>
      </c>
      <c r="D85" s="14">
        <f t="shared" si="2"/>
        <v>0</v>
      </c>
      <c r="E85" s="14">
        <f t="shared" si="3"/>
        <v>0</v>
      </c>
      <c r="I85" s="6"/>
    </row>
    <row r="86" spans="1:9" x14ac:dyDescent="0.3">
      <c r="A86" s="5">
        <v>85</v>
      </c>
      <c r="B86" s="8" t="s">
        <v>93</v>
      </c>
      <c r="D86" s="14">
        <f t="shared" si="2"/>
        <v>0</v>
      </c>
      <c r="E86" s="14">
        <f t="shared" si="3"/>
        <v>0</v>
      </c>
      <c r="I86" s="6"/>
    </row>
    <row r="87" spans="1:9" x14ac:dyDescent="0.3">
      <c r="A87" s="5">
        <v>86</v>
      </c>
      <c r="B87" s="8" t="s">
        <v>115</v>
      </c>
      <c r="D87" s="14">
        <f t="shared" si="2"/>
        <v>0</v>
      </c>
      <c r="E87" s="14">
        <f t="shared" si="3"/>
        <v>0</v>
      </c>
      <c r="I87" s="6"/>
    </row>
    <row r="88" spans="1:9" x14ac:dyDescent="0.3">
      <c r="A88" s="5">
        <v>87</v>
      </c>
      <c r="B88" s="8" t="s">
        <v>101</v>
      </c>
      <c r="D88" s="14">
        <f t="shared" si="2"/>
        <v>0</v>
      </c>
      <c r="E88" s="14">
        <f t="shared" si="3"/>
        <v>0</v>
      </c>
      <c r="I88" s="6"/>
    </row>
    <row r="89" spans="1:9" x14ac:dyDescent="0.3">
      <c r="A89" s="5">
        <v>88</v>
      </c>
      <c r="B89" s="8" t="s">
        <v>107</v>
      </c>
      <c r="D89" s="14">
        <f t="shared" si="2"/>
        <v>0</v>
      </c>
      <c r="E89" s="14">
        <f t="shared" si="3"/>
        <v>0</v>
      </c>
      <c r="I89" s="6"/>
    </row>
    <row r="90" spans="1:9" x14ac:dyDescent="0.3">
      <c r="A90" s="5">
        <v>89</v>
      </c>
      <c r="B90" s="8" t="s">
        <v>105</v>
      </c>
      <c r="D90" s="14">
        <f t="shared" si="2"/>
        <v>0</v>
      </c>
      <c r="E90" s="14">
        <f t="shared" si="3"/>
        <v>0</v>
      </c>
      <c r="I90" s="6"/>
    </row>
    <row r="91" spans="1:9" x14ac:dyDescent="0.3">
      <c r="A91" s="5">
        <v>90</v>
      </c>
      <c r="B91" s="8" t="s">
        <v>110</v>
      </c>
      <c r="D91" s="14">
        <f t="shared" si="2"/>
        <v>0</v>
      </c>
      <c r="E91" s="14">
        <f t="shared" si="3"/>
        <v>0</v>
      </c>
      <c r="I91" s="6"/>
    </row>
    <row r="92" spans="1:9" x14ac:dyDescent="0.3">
      <c r="A92" s="5">
        <v>91</v>
      </c>
      <c r="B92" s="8" t="s">
        <v>111</v>
      </c>
      <c r="D92" s="14">
        <f t="shared" si="2"/>
        <v>0</v>
      </c>
      <c r="E92" s="14">
        <f t="shared" si="3"/>
        <v>0</v>
      </c>
      <c r="I92" s="6"/>
    </row>
    <row r="93" spans="1:9" x14ac:dyDescent="0.3">
      <c r="A93" s="5">
        <v>92</v>
      </c>
      <c r="B93" s="8" t="s">
        <v>98</v>
      </c>
      <c r="D93" s="14">
        <f t="shared" si="2"/>
        <v>0</v>
      </c>
      <c r="E93" s="14">
        <f t="shared" si="3"/>
        <v>0</v>
      </c>
      <c r="I93" s="6"/>
    </row>
    <row r="94" spans="1:9" x14ac:dyDescent="0.3">
      <c r="A94" s="5">
        <v>93</v>
      </c>
      <c r="B94" s="8" t="s">
        <v>40</v>
      </c>
      <c r="D94" s="14">
        <f t="shared" si="2"/>
        <v>0</v>
      </c>
      <c r="E94" s="14">
        <f t="shared" si="3"/>
        <v>0</v>
      </c>
      <c r="I94" s="6"/>
    </row>
    <row r="95" spans="1:9" x14ac:dyDescent="0.3">
      <c r="A95" s="5">
        <v>94</v>
      </c>
      <c r="B95" s="8" t="s">
        <v>52</v>
      </c>
      <c r="D95" s="14">
        <f t="shared" si="2"/>
        <v>0</v>
      </c>
      <c r="E95" s="14">
        <f t="shared" si="3"/>
        <v>0</v>
      </c>
      <c r="I95" s="6"/>
    </row>
    <row r="96" spans="1:9" x14ac:dyDescent="0.3">
      <c r="A96" s="5">
        <v>95</v>
      </c>
      <c r="B96" s="8" t="s">
        <v>146</v>
      </c>
      <c r="D96" s="14">
        <f t="shared" si="2"/>
        <v>0</v>
      </c>
      <c r="E96" s="14">
        <f t="shared" si="3"/>
        <v>0</v>
      </c>
      <c r="I96" s="6"/>
    </row>
    <row r="97" spans="1:9" x14ac:dyDescent="0.3">
      <c r="A97" s="5">
        <v>96</v>
      </c>
      <c r="B97" s="8" t="s">
        <v>106</v>
      </c>
      <c r="D97" s="14">
        <f t="shared" si="2"/>
        <v>0</v>
      </c>
      <c r="E97" s="14">
        <f t="shared" si="3"/>
        <v>0</v>
      </c>
      <c r="I97" s="6"/>
    </row>
    <row r="98" spans="1:9" x14ac:dyDescent="0.3">
      <c r="A98" s="5">
        <v>97</v>
      </c>
      <c r="B98" s="8" t="s">
        <v>116</v>
      </c>
      <c r="D98" s="14">
        <f t="shared" si="2"/>
        <v>0</v>
      </c>
      <c r="E98" s="14">
        <f t="shared" si="3"/>
        <v>0</v>
      </c>
      <c r="I98" s="6"/>
    </row>
    <row r="99" spans="1:9" x14ac:dyDescent="0.3">
      <c r="A99" s="5">
        <v>98</v>
      </c>
      <c r="B99" s="8" t="s">
        <v>104</v>
      </c>
      <c r="D99" s="14">
        <f t="shared" si="2"/>
        <v>0</v>
      </c>
      <c r="E99" s="14">
        <f t="shared" si="3"/>
        <v>0</v>
      </c>
      <c r="I99" s="6"/>
    </row>
    <row r="100" spans="1:9" x14ac:dyDescent="0.3">
      <c r="A100" s="5">
        <v>99</v>
      </c>
      <c r="B100" s="8" t="s">
        <v>56</v>
      </c>
      <c r="D100" s="14">
        <f t="shared" si="2"/>
        <v>0</v>
      </c>
      <c r="E100" s="14">
        <f t="shared" si="3"/>
        <v>0</v>
      </c>
      <c r="I100" s="6"/>
    </row>
    <row r="101" spans="1:9" x14ac:dyDescent="0.3">
      <c r="A101" s="5">
        <v>100</v>
      </c>
      <c r="B101" s="8" t="s">
        <v>113</v>
      </c>
      <c r="D101" s="14">
        <f t="shared" si="2"/>
        <v>0</v>
      </c>
      <c r="E101" s="14">
        <f t="shared" si="3"/>
        <v>0</v>
      </c>
      <c r="I101" s="6"/>
    </row>
    <row r="102" spans="1:9" x14ac:dyDescent="0.3">
      <c r="A102" s="5">
        <v>101</v>
      </c>
      <c r="B102" s="8" t="s">
        <v>119</v>
      </c>
      <c r="D102" s="14">
        <f t="shared" si="2"/>
        <v>0</v>
      </c>
      <c r="E102" s="14">
        <f t="shared" si="3"/>
        <v>0</v>
      </c>
      <c r="I102" s="6"/>
    </row>
    <row r="103" spans="1:9" x14ac:dyDescent="0.3">
      <c r="A103" s="5">
        <v>102</v>
      </c>
      <c r="B103" s="8" t="s">
        <v>66</v>
      </c>
      <c r="D103" s="14">
        <f t="shared" si="2"/>
        <v>0</v>
      </c>
      <c r="E103" s="14">
        <f t="shared" si="3"/>
        <v>0</v>
      </c>
      <c r="I103" s="6"/>
    </row>
    <row r="104" spans="1:9" x14ac:dyDescent="0.3">
      <c r="A104" s="5">
        <v>103</v>
      </c>
      <c r="B104" s="8" t="s">
        <v>121</v>
      </c>
      <c r="D104" s="14">
        <f t="shared" si="2"/>
        <v>0</v>
      </c>
      <c r="E104" s="14">
        <f t="shared" si="3"/>
        <v>0</v>
      </c>
      <c r="I104" s="6"/>
    </row>
    <row r="105" spans="1:9" x14ac:dyDescent="0.3">
      <c r="A105" s="5">
        <v>104</v>
      </c>
      <c r="B105" s="8" t="s">
        <v>63</v>
      </c>
      <c r="D105" s="14">
        <f t="shared" si="2"/>
        <v>0</v>
      </c>
      <c r="E105" s="14">
        <f t="shared" si="3"/>
        <v>0</v>
      </c>
      <c r="I105" s="6"/>
    </row>
    <row r="106" spans="1:9" x14ac:dyDescent="0.3">
      <c r="A106" s="5">
        <v>105</v>
      </c>
      <c r="B106" s="8" t="s">
        <v>100</v>
      </c>
      <c r="D106" s="14">
        <f t="shared" si="2"/>
        <v>0</v>
      </c>
      <c r="E106" s="14">
        <f t="shared" si="3"/>
        <v>0</v>
      </c>
      <c r="I106" s="6"/>
    </row>
    <row r="107" spans="1:9" x14ac:dyDescent="0.3">
      <c r="A107" s="5">
        <v>106</v>
      </c>
      <c r="B107" s="8" t="s">
        <v>103</v>
      </c>
      <c r="D107" s="14">
        <f t="shared" si="2"/>
        <v>0</v>
      </c>
      <c r="E107" s="14">
        <f t="shared" si="3"/>
        <v>0</v>
      </c>
      <c r="I107" s="6"/>
    </row>
    <row r="108" spans="1:9" x14ac:dyDescent="0.3">
      <c r="A108" s="5">
        <v>107</v>
      </c>
      <c r="B108" s="8" t="s">
        <v>130</v>
      </c>
      <c r="D108" s="14">
        <f t="shared" si="2"/>
        <v>0</v>
      </c>
      <c r="E108" s="14">
        <f t="shared" si="3"/>
        <v>0</v>
      </c>
      <c r="I108" s="6"/>
    </row>
    <row r="109" spans="1:9" x14ac:dyDescent="0.3">
      <c r="A109" s="5">
        <v>108</v>
      </c>
      <c r="B109" s="8" t="s">
        <v>137</v>
      </c>
      <c r="D109" s="14">
        <f t="shared" si="2"/>
        <v>0</v>
      </c>
      <c r="E109" s="14">
        <f t="shared" si="3"/>
        <v>0</v>
      </c>
      <c r="I109" s="6"/>
    </row>
    <row r="110" spans="1:9" x14ac:dyDescent="0.3">
      <c r="A110" s="5">
        <v>109</v>
      </c>
      <c r="B110" s="8" t="s">
        <v>139</v>
      </c>
      <c r="D110" s="14">
        <f t="shared" si="2"/>
        <v>0</v>
      </c>
      <c r="E110" s="14">
        <f t="shared" si="3"/>
        <v>0</v>
      </c>
      <c r="I110" s="6"/>
    </row>
    <row r="111" spans="1:9" x14ac:dyDescent="0.3">
      <c r="A111" s="5">
        <v>110</v>
      </c>
      <c r="B111" s="8" t="s">
        <v>135</v>
      </c>
      <c r="D111" s="14">
        <f t="shared" si="2"/>
        <v>0</v>
      </c>
      <c r="E111" s="14">
        <f t="shared" si="3"/>
        <v>0</v>
      </c>
      <c r="I111" s="6"/>
    </row>
    <row r="112" spans="1:9" x14ac:dyDescent="0.3">
      <c r="A112" s="5">
        <v>111</v>
      </c>
      <c r="B112" s="8" t="s">
        <v>152</v>
      </c>
      <c r="D112" s="14">
        <f t="shared" si="2"/>
        <v>0</v>
      </c>
      <c r="E112" s="14">
        <f t="shared" si="3"/>
        <v>0</v>
      </c>
      <c r="I112" s="6"/>
    </row>
    <row r="113" spans="1:9" x14ac:dyDescent="0.3">
      <c r="A113" s="5">
        <v>112</v>
      </c>
      <c r="B113" s="8" t="s">
        <v>153</v>
      </c>
      <c r="D113" s="14">
        <f t="shared" si="2"/>
        <v>0</v>
      </c>
      <c r="E113" s="14">
        <f t="shared" si="3"/>
        <v>0</v>
      </c>
      <c r="I113" s="6"/>
    </row>
    <row r="114" spans="1:9" x14ac:dyDescent="0.3">
      <c r="A114" s="5">
        <v>113</v>
      </c>
      <c r="B114" s="8" t="s">
        <v>114</v>
      </c>
      <c r="D114" s="14">
        <f t="shared" si="2"/>
        <v>0</v>
      </c>
      <c r="E114" s="14">
        <f t="shared" si="3"/>
        <v>0</v>
      </c>
      <c r="I114" s="6"/>
    </row>
    <row r="115" spans="1:9" x14ac:dyDescent="0.3">
      <c r="A115" s="5">
        <v>114</v>
      </c>
      <c r="B115" s="8" t="s">
        <v>125</v>
      </c>
      <c r="D115" s="14">
        <f t="shared" si="2"/>
        <v>0</v>
      </c>
      <c r="E115" s="14">
        <f t="shared" si="3"/>
        <v>0</v>
      </c>
      <c r="I115" s="6"/>
    </row>
    <row r="116" spans="1:9" x14ac:dyDescent="0.3">
      <c r="A116" s="5">
        <v>115</v>
      </c>
      <c r="B116" s="8" t="s">
        <v>128</v>
      </c>
      <c r="D116" s="14">
        <f t="shared" si="2"/>
        <v>0</v>
      </c>
      <c r="E116" s="14">
        <f t="shared" si="3"/>
        <v>0</v>
      </c>
      <c r="I116" s="6"/>
    </row>
    <row r="117" spans="1:9" x14ac:dyDescent="0.3">
      <c r="A117" s="5">
        <v>116</v>
      </c>
      <c r="B117" s="8" t="s">
        <v>117</v>
      </c>
      <c r="D117" s="14">
        <f t="shared" si="2"/>
        <v>0</v>
      </c>
      <c r="E117" s="14">
        <f t="shared" si="3"/>
        <v>0</v>
      </c>
      <c r="I117" s="6"/>
    </row>
    <row r="118" spans="1:9" x14ac:dyDescent="0.3">
      <c r="A118" s="5">
        <v>117</v>
      </c>
      <c r="B118" s="8" t="s">
        <v>134</v>
      </c>
      <c r="D118" s="14">
        <f t="shared" si="2"/>
        <v>0</v>
      </c>
      <c r="E118" s="14">
        <f t="shared" si="3"/>
        <v>0</v>
      </c>
      <c r="I118" s="6"/>
    </row>
    <row r="119" spans="1:9" x14ac:dyDescent="0.3">
      <c r="A119" s="5">
        <v>118</v>
      </c>
      <c r="B119" s="8" t="s">
        <v>140</v>
      </c>
      <c r="D119" s="14">
        <f t="shared" si="2"/>
        <v>0</v>
      </c>
      <c r="E119" s="14">
        <f t="shared" si="3"/>
        <v>0</v>
      </c>
      <c r="I119" s="6"/>
    </row>
    <row r="120" spans="1:9" x14ac:dyDescent="0.3">
      <c r="A120" s="5">
        <v>119</v>
      </c>
      <c r="B120" s="8" t="s">
        <v>127</v>
      </c>
      <c r="D120" s="14">
        <f t="shared" si="2"/>
        <v>0</v>
      </c>
      <c r="E120" s="14">
        <f t="shared" si="3"/>
        <v>0</v>
      </c>
      <c r="I120" s="6"/>
    </row>
    <row r="121" spans="1:9" x14ac:dyDescent="0.3">
      <c r="A121" s="5">
        <v>120</v>
      </c>
      <c r="B121" s="8" t="s">
        <v>112</v>
      </c>
      <c r="D121" s="14">
        <f t="shared" si="2"/>
        <v>0</v>
      </c>
      <c r="E121" s="14">
        <f t="shared" si="3"/>
        <v>0</v>
      </c>
      <c r="I121" s="6"/>
    </row>
    <row r="122" spans="1:9" x14ac:dyDescent="0.3">
      <c r="A122" s="5">
        <v>121</v>
      </c>
      <c r="B122" s="8" t="s">
        <v>89</v>
      </c>
      <c r="D122" s="14">
        <f t="shared" si="2"/>
        <v>0</v>
      </c>
      <c r="E122" s="14">
        <f t="shared" si="3"/>
        <v>0</v>
      </c>
      <c r="I122" s="6"/>
    </row>
    <row r="123" spans="1:9" x14ac:dyDescent="0.3">
      <c r="A123" s="5">
        <v>122</v>
      </c>
      <c r="B123" s="8" t="s">
        <v>124</v>
      </c>
      <c r="D123" s="14">
        <f t="shared" si="2"/>
        <v>0</v>
      </c>
      <c r="E123" s="14">
        <f t="shared" si="3"/>
        <v>0</v>
      </c>
      <c r="I123" s="6"/>
    </row>
    <row r="124" spans="1:9" x14ac:dyDescent="0.3">
      <c r="A124" s="5">
        <v>123</v>
      </c>
      <c r="B124" s="8" t="s">
        <v>148</v>
      </c>
      <c r="D124" s="14">
        <f t="shared" si="2"/>
        <v>0</v>
      </c>
      <c r="E124" s="14">
        <f t="shared" si="3"/>
        <v>0</v>
      </c>
      <c r="I124" s="6"/>
    </row>
    <row r="125" spans="1:9" x14ac:dyDescent="0.3">
      <c r="A125" s="5">
        <v>124</v>
      </c>
      <c r="B125" s="8" t="s">
        <v>109</v>
      </c>
      <c r="D125" s="14">
        <f t="shared" si="2"/>
        <v>0</v>
      </c>
      <c r="E125" s="14">
        <f t="shared" si="3"/>
        <v>0</v>
      </c>
      <c r="I125" s="6"/>
    </row>
    <row r="126" spans="1:9" x14ac:dyDescent="0.3">
      <c r="A126" s="5">
        <v>125</v>
      </c>
      <c r="B126" s="8" t="s">
        <v>141</v>
      </c>
      <c r="D126" s="14">
        <f t="shared" si="2"/>
        <v>0</v>
      </c>
      <c r="E126" s="14">
        <f t="shared" si="3"/>
        <v>0</v>
      </c>
      <c r="I126" s="6"/>
    </row>
    <row r="127" spans="1:9" x14ac:dyDescent="0.3">
      <c r="A127" s="5">
        <v>126</v>
      </c>
      <c r="B127" s="8" t="s">
        <v>145</v>
      </c>
      <c r="D127" s="14">
        <f t="shared" si="2"/>
        <v>0</v>
      </c>
      <c r="E127" s="14">
        <f t="shared" si="3"/>
        <v>0</v>
      </c>
      <c r="I127" s="6"/>
    </row>
    <row r="128" spans="1:9" x14ac:dyDescent="0.3">
      <c r="A128" s="5">
        <v>127</v>
      </c>
      <c r="B128" s="8" t="s">
        <v>142</v>
      </c>
      <c r="D128" s="14">
        <f t="shared" si="2"/>
        <v>0</v>
      </c>
      <c r="E128" s="14">
        <f t="shared" si="3"/>
        <v>0</v>
      </c>
      <c r="I128" s="6"/>
    </row>
    <row r="129" spans="1:9" x14ac:dyDescent="0.3">
      <c r="A129" s="5">
        <v>128</v>
      </c>
      <c r="B129" s="8" t="s">
        <v>77</v>
      </c>
      <c r="D129" s="14">
        <f t="shared" si="2"/>
        <v>0</v>
      </c>
      <c r="E129" s="14">
        <f t="shared" si="3"/>
        <v>0</v>
      </c>
      <c r="I129" s="6"/>
    </row>
    <row r="130" spans="1:9" x14ac:dyDescent="0.3">
      <c r="A130" s="5">
        <v>129</v>
      </c>
      <c r="B130" s="8" t="s">
        <v>102</v>
      </c>
      <c r="D130" s="14">
        <f t="shared" si="2"/>
        <v>0</v>
      </c>
      <c r="E130" s="14">
        <f t="shared" si="3"/>
        <v>0</v>
      </c>
      <c r="I130" s="6"/>
    </row>
    <row r="131" spans="1:9" x14ac:dyDescent="0.3">
      <c r="A131" s="5">
        <v>130</v>
      </c>
      <c r="B131" s="8" t="s">
        <v>120</v>
      </c>
      <c r="D131" s="14">
        <f t="shared" ref="D131:D194" si="4">SUMIF($F:$F,B131,$G:$G)</f>
        <v>0</v>
      </c>
      <c r="E131" s="14">
        <f t="shared" ref="E131:E194" si="5">C131-D131</f>
        <v>0</v>
      </c>
      <c r="I131" s="6"/>
    </row>
    <row r="132" spans="1:9" x14ac:dyDescent="0.3">
      <c r="A132" s="5">
        <v>131</v>
      </c>
      <c r="B132" s="8" t="s">
        <v>136</v>
      </c>
      <c r="D132" s="14">
        <f t="shared" si="4"/>
        <v>0</v>
      </c>
      <c r="E132" s="14">
        <f t="shared" si="5"/>
        <v>0</v>
      </c>
      <c r="I132" s="6"/>
    </row>
    <row r="133" spans="1:9" x14ac:dyDescent="0.3">
      <c r="A133" s="5">
        <v>132</v>
      </c>
      <c r="B133" s="8" t="s">
        <v>87</v>
      </c>
      <c r="D133" s="14">
        <f t="shared" si="4"/>
        <v>0</v>
      </c>
      <c r="E133" s="14">
        <f t="shared" si="5"/>
        <v>0</v>
      </c>
      <c r="I133" s="6"/>
    </row>
    <row r="134" spans="1:9" x14ac:dyDescent="0.3">
      <c r="A134" s="5">
        <v>133</v>
      </c>
      <c r="B134" s="8" t="s">
        <v>129</v>
      </c>
      <c r="D134" s="14">
        <f t="shared" si="4"/>
        <v>0</v>
      </c>
      <c r="E134" s="14">
        <f t="shared" si="5"/>
        <v>0</v>
      </c>
      <c r="I134" s="6"/>
    </row>
    <row r="135" spans="1:9" x14ac:dyDescent="0.3">
      <c r="A135" s="5">
        <v>134</v>
      </c>
      <c r="B135" s="8" t="s">
        <v>150</v>
      </c>
      <c r="D135" s="14">
        <f t="shared" si="4"/>
        <v>0</v>
      </c>
      <c r="E135" s="14">
        <f t="shared" si="5"/>
        <v>0</v>
      </c>
      <c r="I135" s="6"/>
    </row>
    <row r="136" spans="1:9" x14ac:dyDescent="0.3">
      <c r="A136" s="5">
        <v>135</v>
      </c>
      <c r="B136" s="8" t="s">
        <v>94</v>
      </c>
      <c r="D136" s="14">
        <f t="shared" si="4"/>
        <v>0</v>
      </c>
      <c r="E136" s="14">
        <f t="shared" si="5"/>
        <v>0</v>
      </c>
      <c r="I136" s="6"/>
    </row>
    <row r="137" spans="1:9" x14ac:dyDescent="0.3">
      <c r="A137" s="5">
        <v>136</v>
      </c>
      <c r="B137" s="8" t="s">
        <v>122</v>
      </c>
      <c r="D137" s="14">
        <f t="shared" si="4"/>
        <v>0</v>
      </c>
      <c r="E137" s="14">
        <f t="shared" si="5"/>
        <v>0</v>
      </c>
      <c r="I137" s="6"/>
    </row>
    <row r="138" spans="1:9" x14ac:dyDescent="0.3">
      <c r="A138" s="5">
        <v>137</v>
      </c>
      <c r="B138" s="8" t="s">
        <v>123</v>
      </c>
      <c r="D138" s="14">
        <f t="shared" si="4"/>
        <v>0</v>
      </c>
      <c r="E138" s="14">
        <f t="shared" si="5"/>
        <v>0</v>
      </c>
      <c r="I138" s="6"/>
    </row>
    <row r="139" spans="1:9" x14ac:dyDescent="0.3">
      <c r="A139" s="5">
        <v>138</v>
      </c>
      <c r="B139" s="8" t="s">
        <v>108</v>
      </c>
      <c r="D139" s="14">
        <f t="shared" si="4"/>
        <v>0</v>
      </c>
      <c r="E139" s="14">
        <f t="shared" si="5"/>
        <v>0</v>
      </c>
      <c r="I139" s="6"/>
    </row>
    <row r="140" spans="1:9" x14ac:dyDescent="0.3">
      <c r="A140" s="5">
        <v>139</v>
      </c>
      <c r="B140" s="8" t="s">
        <v>154</v>
      </c>
      <c r="D140" s="14">
        <f t="shared" si="4"/>
        <v>0</v>
      </c>
      <c r="E140" s="14">
        <f t="shared" si="5"/>
        <v>0</v>
      </c>
      <c r="I140" s="6"/>
    </row>
    <row r="141" spans="1:9" x14ac:dyDescent="0.3">
      <c r="A141" s="5">
        <v>140</v>
      </c>
      <c r="B141" s="8" t="s">
        <v>131</v>
      </c>
      <c r="D141" s="14">
        <f t="shared" si="4"/>
        <v>0</v>
      </c>
      <c r="E141" s="14">
        <f t="shared" si="5"/>
        <v>0</v>
      </c>
      <c r="I141" s="6"/>
    </row>
    <row r="142" spans="1:9" x14ac:dyDescent="0.3">
      <c r="A142" s="5">
        <v>141</v>
      </c>
      <c r="B142" s="8" t="s">
        <v>143</v>
      </c>
      <c r="D142" s="14">
        <f t="shared" si="4"/>
        <v>0</v>
      </c>
      <c r="E142" s="14">
        <f t="shared" si="5"/>
        <v>0</v>
      </c>
      <c r="I142" s="6"/>
    </row>
    <row r="143" spans="1:9" x14ac:dyDescent="0.3">
      <c r="A143" s="5">
        <v>142</v>
      </c>
      <c r="B143" s="8" t="s">
        <v>97</v>
      </c>
      <c r="D143" s="14">
        <f t="shared" si="4"/>
        <v>0</v>
      </c>
      <c r="E143" s="14">
        <f t="shared" si="5"/>
        <v>0</v>
      </c>
      <c r="I143" s="6"/>
    </row>
    <row r="144" spans="1:9" x14ac:dyDescent="0.3">
      <c r="A144" s="5">
        <v>143</v>
      </c>
      <c r="B144" s="8" t="s">
        <v>123</v>
      </c>
      <c r="D144" s="14">
        <f t="shared" si="4"/>
        <v>0</v>
      </c>
      <c r="E144" s="14">
        <f t="shared" si="5"/>
        <v>0</v>
      </c>
      <c r="I144" s="6"/>
    </row>
    <row r="145" spans="1:9" x14ac:dyDescent="0.3">
      <c r="A145" s="5">
        <v>144</v>
      </c>
      <c r="B145" s="8" t="s">
        <v>166</v>
      </c>
      <c r="D145" s="14">
        <f t="shared" si="4"/>
        <v>0</v>
      </c>
      <c r="E145" s="14">
        <f t="shared" si="5"/>
        <v>0</v>
      </c>
      <c r="I145" s="6"/>
    </row>
    <row r="146" spans="1:9" x14ac:dyDescent="0.3">
      <c r="A146" s="5">
        <v>145</v>
      </c>
      <c r="B146" s="8" t="s">
        <v>427</v>
      </c>
      <c r="D146" s="14">
        <f t="shared" si="4"/>
        <v>0</v>
      </c>
      <c r="E146" s="14">
        <f t="shared" si="5"/>
        <v>0</v>
      </c>
      <c r="I146" s="6"/>
    </row>
    <row r="147" spans="1:9" x14ac:dyDescent="0.3">
      <c r="A147" s="5">
        <v>146</v>
      </c>
      <c r="B147" s="8" t="s">
        <v>172</v>
      </c>
      <c r="D147" s="14">
        <f t="shared" si="4"/>
        <v>0</v>
      </c>
      <c r="E147" s="14">
        <f t="shared" si="5"/>
        <v>0</v>
      </c>
      <c r="I147" s="6"/>
    </row>
    <row r="148" spans="1:9" x14ac:dyDescent="0.3">
      <c r="A148" s="5">
        <v>147</v>
      </c>
      <c r="B148" s="8" t="s">
        <v>177</v>
      </c>
      <c r="D148" s="14">
        <f t="shared" si="4"/>
        <v>0</v>
      </c>
      <c r="E148" s="14">
        <f t="shared" si="5"/>
        <v>0</v>
      </c>
      <c r="I148" s="6"/>
    </row>
    <row r="149" spans="1:9" x14ac:dyDescent="0.3">
      <c r="A149" s="5">
        <v>148</v>
      </c>
      <c r="B149" s="8" t="s">
        <v>160</v>
      </c>
      <c r="D149" s="14">
        <f t="shared" si="4"/>
        <v>0</v>
      </c>
      <c r="E149" s="14">
        <f t="shared" si="5"/>
        <v>0</v>
      </c>
      <c r="I149" s="6"/>
    </row>
    <row r="150" spans="1:9" x14ac:dyDescent="0.3">
      <c r="A150" s="5">
        <v>149</v>
      </c>
      <c r="B150" s="8" t="s">
        <v>159</v>
      </c>
      <c r="D150" s="14">
        <f t="shared" si="4"/>
        <v>0</v>
      </c>
      <c r="E150" s="14">
        <f t="shared" si="5"/>
        <v>0</v>
      </c>
      <c r="I150" s="6"/>
    </row>
    <row r="151" spans="1:9" x14ac:dyDescent="0.3">
      <c r="A151" s="5">
        <v>150</v>
      </c>
      <c r="B151" s="8" t="s">
        <v>179</v>
      </c>
      <c r="D151" s="14">
        <f t="shared" si="4"/>
        <v>0</v>
      </c>
      <c r="E151" s="14">
        <f t="shared" si="5"/>
        <v>0</v>
      </c>
      <c r="I151" s="6"/>
    </row>
    <row r="152" spans="1:9" x14ac:dyDescent="0.3">
      <c r="A152" s="5">
        <v>151</v>
      </c>
      <c r="B152" s="8" t="s">
        <v>162</v>
      </c>
      <c r="D152" s="14">
        <f t="shared" si="4"/>
        <v>0</v>
      </c>
      <c r="E152" s="14">
        <f t="shared" si="5"/>
        <v>0</v>
      </c>
      <c r="I152" s="6"/>
    </row>
    <row r="153" spans="1:9" x14ac:dyDescent="0.3">
      <c r="A153" s="5">
        <v>152</v>
      </c>
      <c r="B153" s="8" t="s">
        <v>147</v>
      </c>
      <c r="D153" s="14">
        <f t="shared" si="4"/>
        <v>0</v>
      </c>
      <c r="E153" s="14">
        <f t="shared" si="5"/>
        <v>0</v>
      </c>
      <c r="I153" s="6"/>
    </row>
    <row r="154" spans="1:9" x14ac:dyDescent="0.3">
      <c r="A154" s="5">
        <v>153</v>
      </c>
      <c r="B154" s="8" t="s">
        <v>51</v>
      </c>
      <c r="D154" s="14">
        <f t="shared" si="4"/>
        <v>0</v>
      </c>
      <c r="E154" s="14">
        <f t="shared" si="5"/>
        <v>0</v>
      </c>
      <c r="I154" s="6"/>
    </row>
    <row r="155" spans="1:9" x14ac:dyDescent="0.3">
      <c r="A155" s="5">
        <v>154</v>
      </c>
      <c r="B155" s="8" t="s">
        <v>151</v>
      </c>
      <c r="D155" s="14">
        <f t="shared" si="4"/>
        <v>0</v>
      </c>
      <c r="E155" s="14">
        <f t="shared" si="5"/>
        <v>0</v>
      </c>
      <c r="I155" s="6"/>
    </row>
    <row r="156" spans="1:9" x14ac:dyDescent="0.3">
      <c r="A156" s="5">
        <v>155</v>
      </c>
      <c r="B156" s="8" t="s">
        <v>42</v>
      </c>
      <c r="D156" s="14">
        <f t="shared" si="4"/>
        <v>0</v>
      </c>
      <c r="E156" s="14">
        <f t="shared" si="5"/>
        <v>0</v>
      </c>
      <c r="I156" s="6"/>
    </row>
    <row r="157" spans="1:9" x14ac:dyDescent="0.3">
      <c r="A157" s="5">
        <v>156</v>
      </c>
      <c r="B157" s="8" t="s">
        <v>155</v>
      </c>
      <c r="D157" s="14">
        <f t="shared" si="4"/>
        <v>0</v>
      </c>
      <c r="E157" s="14">
        <f t="shared" si="5"/>
        <v>0</v>
      </c>
      <c r="I157" s="6"/>
    </row>
    <row r="158" spans="1:9" x14ac:dyDescent="0.3">
      <c r="A158" s="5">
        <v>157</v>
      </c>
      <c r="B158" s="8" t="s">
        <v>161</v>
      </c>
      <c r="D158" s="14">
        <f t="shared" si="4"/>
        <v>0</v>
      </c>
      <c r="E158" s="14">
        <f t="shared" si="5"/>
        <v>0</v>
      </c>
      <c r="I158" s="6"/>
    </row>
    <row r="159" spans="1:9" x14ac:dyDescent="0.3">
      <c r="A159" s="5">
        <v>158</v>
      </c>
      <c r="B159" s="8" t="s">
        <v>161</v>
      </c>
      <c r="D159" s="14">
        <f t="shared" si="4"/>
        <v>0</v>
      </c>
      <c r="E159" s="14">
        <f t="shared" si="5"/>
        <v>0</v>
      </c>
      <c r="I159" s="6"/>
    </row>
    <row r="160" spans="1:9" x14ac:dyDescent="0.3">
      <c r="A160" s="5">
        <v>159</v>
      </c>
      <c r="B160" s="8" t="s">
        <v>79</v>
      </c>
      <c r="D160" s="14">
        <f t="shared" si="4"/>
        <v>0</v>
      </c>
      <c r="E160" s="14">
        <f t="shared" si="5"/>
        <v>0</v>
      </c>
      <c r="I160" s="6"/>
    </row>
    <row r="161" spans="1:9" x14ac:dyDescent="0.3">
      <c r="A161" s="5">
        <v>160</v>
      </c>
      <c r="B161" s="8" t="s">
        <v>126</v>
      </c>
      <c r="D161" s="14">
        <f t="shared" si="4"/>
        <v>0</v>
      </c>
      <c r="E161" s="14">
        <f t="shared" si="5"/>
        <v>0</v>
      </c>
      <c r="I161" s="6"/>
    </row>
    <row r="162" spans="1:9" x14ac:dyDescent="0.3">
      <c r="A162" s="5">
        <v>161</v>
      </c>
      <c r="B162" s="8" t="s">
        <v>180</v>
      </c>
      <c r="D162" s="14">
        <f t="shared" si="4"/>
        <v>0</v>
      </c>
      <c r="E162" s="14">
        <f t="shared" si="5"/>
        <v>0</v>
      </c>
      <c r="I162" s="6"/>
    </row>
    <row r="163" spans="1:9" x14ac:dyDescent="0.3">
      <c r="A163" s="5">
        <v>162</v>
      </c>
      <c r="B163" s="8" t="s">
        <v>78</v>
      </c>
      <c r="D163" s="14">
        <f t="shared" si="4"/>
        <v>0</v>
      </c>
      <c r="E163" s="14">
        <f t="shared" si="5"/>
        <v>0</v>
      </c>
      <c r="I163" s="6"/>
    </row>
    <row r="164" spans="1:9" x14ac:dyDescent="0.3">
      <c r="A164" s="5">
        <v>163</v>
      </c>
      <c r="B164" s="8" t="s">
        <v>156</v>
      </c>
      <c r="D164" s="14">
        <f t="shared" si="4"/>
        <v>0</v>
      </c>
      <c r="E164" s="14">
        <f t="shared" si="5"/>
        <v>0</v>
      </c>
      <c r="I164" s="6"/>
    </row>
    <row r="165" spans="1:9" x14ac:dyDescent="0.3">
      <c r="A165" s="5">
        <v>164</v>
      </c>
      <c r="B165" s="8" t="s">
        <v>157</v>
      </c>
      <c r="D165" s="14">
        <f t="shared" si="4"/>
        <v>0</v>
      </c>
      <c r="E165" s="14">
        <f t="shared" si="5"/>
        <v>0</v>
      </c>
      <c r="I165" s="6"/>
    </row>
    <row r="166" spans="1:9" x14ac:dyDescent="0.3">
      <c r="A166" s="5">
        <v>165</v>
      </c>
      <c r="B166" s="8" t="s">
        <v>163</v>
      </c>
      <c r="D166" s="14">
        <f t="shared" si="4"/>
        <v>0</v>
      </c>
      <c r="E166" s="14">
        <f t="shared" si="5"/>
        <v>0</v>
      </c>
      <c r="I166" s="6"/>
    </row>
    <row r="167" spans="1:9" x14ac:dyDescent="0.3">
      <c r="A167" s="5">
        <v>166</v>
      </c>
      <c r="B167" s="8" t="s">
        <v>187</v>
      </c>
      <c r="D167" s="14">
        <f t="shared" si="4"/>
        <v>0</v>
      </c>
      <c r="E167" s="14">
        <f t="shared" si="5"/>
        <v>0</v>
      </c>
      <c r="I167" s="6"/>
    </row>
    <row r="168" spans="1:9" x14ac:dyDescent="0.3">
      <c r="A168" s="5">
        <v>167</v>
      </c>
      <c r="B168" s="8" t="s">
        <v>167</v>
      </c>
      <c r="D168" s="14">
        <f t="shared" si="4"/>
        <v>0</v>
      </c>
      <c r="E168" s="14">
        <f t="shared" si="5"/>
        <v>0</v>
      </c>
      <c r="I168" s="6"/>
    </row>
    <row r="169" spans="1:9" x14ac:dyDescent="0.3">
      <c r="A169" s="5">
        <v>168</v>
      </c>
      <c r="B169" s="8" t="s">
        <v>185</v>
      </c>
      <c r="D169" s="14">
        <f t="shared" si="4"/>
        <v>0</v>
      </c>
      <c r="E169" s="14">
        <f t="shared" si="5"/>
        <v>0</v>
      </c>
      <c r="I169" s="6"/>
    </row>
    <row r="170" spans="1:9" x14ac:dyDescent="0.3">
      <c r="A170" s="5">
        <v>169</v>
      </c>
      <c r="B170" s="8" t="s">
        <v>73</v>
      </c>
      <c r="D170" s="14">
        <f t="shared" si="4"/>
        <v>0</v>
      </c>
      <c r="E170" s="14">
        <f t="shared" si="5"/>
        <v>0</v>
      </c>
      <c r="I170" s="6"/>
    </row>
    <row r="171" spans="1:9" x14ac:dyDescent="0.3">
      <c r="A171" s="5">
        <v>170</v>
      </c>
      <c r="B171" s="8" t="s">
        <v>186</v>
      </c>
      <c r="D171" s="14">
        <f t="shared" si="4"/>
        <v>0</v>
      </c>
      <c r="E171" s="14">
        <f t="shared" si="5"/>
        <v>0</v>
      </c>
      <c r="I171" s="6"/>
    </row>
    <row r="172" spans="1:9" x14ac:dyDescent="0.3">
      <c r="A172" s="5">
        <v>171</v>
      </c>
      <c r="B172" s="8" t="s">
        <v>175</v>
      </c>
      <c r="D172" s="14">
        <f t="shared" si="4"/>
        <v>0</v>
      </c>
      <c r="E172" s="14">
        <f t="shared" si="5"/>
        <v>0</v>
      </c>
      <c r="I172" s="6"/>
    </row>
    <row r="173" spans="1:9" x14ac:dyDescent="0.3">
      <c r="A173" s="5">
        <v>172</v>
      </c>
      <c r="B173" s="8" t="s">
        <v>181</v>
      </c>
      <c r="D173" s="14">
        <f t="shared" si="4"/>
        <v>0</v>
      </c>
      <c r="E173" s="14">
        <f t="shared" si="5"/>
        <v>0</v>
      </c>
      <c r="I173" s="6"/>
    </row>
    <row r="174" spans="1:9" x14ac:dyDescent="0.3">
      <c r="A174" s="5">
        <v>173</v>
      </c>
      <c r="B174" s="8" t="s">
        <v>168</v>
      </c>
      <c r="D174" s="14">
        <f t="shared" si="4"/>
        <v>0</v>
      </c>
      <c r="E174" s="14">
        <f t="shared" si="5"/>
        <v>0</v>
      </c>
      <c r="I174" s="6"/>
    </row>
    <row r="175" spans="1:9" x14ac:dyDescent="0.3">
      <c r="A175" s="5">
        <v>174</v>
      </c>
      <c r="B175" s="8" t="s">
        <v>194</v>
      </c>
      <c r="D175" s="14">
        <f t="shared" si="4"/>
        <v>0</v>
      </c>
      <c r="E175" s="14">
        <f t="shared" si="5"/>
        <v>0</v>
      </c>
      <c r="I175" s="6"/>
    </row>
    <row r="176" spans="1:9" x14ac:dyDescent="0.3">
      <c r="A176" s="5">
        <v>175</v>
      </c>
      <c r="B176" s="8" t="s">
        <v>428</v>
      </c>
      <c r="D176" s="14">
        <f t="shared" si="4"/>
        <v>0</v>
      </c>
      <c r="E176" s="14">
        <f t="shared" si="5"/>
        <v>0</v>
      </c>
      <c r="I176" s="6"/>
    </row>
    <row r="177" spans="1:9" x14ac:dyDescent="0.3">
      <c r="A177" s="5">
        <v>176</v>
      </c>
      <c r="B177" s="8" t="s">
        <v>158</v>
      </c>
      <c r="D177" s="14">
        <f t="shared" si="4"/>
        <v>0</v>
      </c>
      <c r="E177" s="14">
        <f t="shared" si="5"/>
        <v>0</v>
      </c>
      <c r="I177" s="6"/>
    </row>
    <row r="178" spans="1:9" x14ac:dyDescent="0.3">
      <c r="A178" s="5">
        <v>177</v>
      </c>
      <c r="B178" s="8" t="s">
        <v>169</v>
      </c>
      <c r="D178" s="14">
        <f t="shared" si="4"/>
        <v>0</v>
      </c>
      <c r="E178" s="14">
        <f t="shared" si="5"/>
        <v>0</v>
      </c>
      <c r="I178" s="6"/>
    </row>
    <row r="179" spans="1:9" x14ac:dyDescent="0.3">
      <c r="A179" s="5">
        <v>178</v>
      </c>
      <c r="B179" s="8" t="s">
        <v>190</v>
      </c>
      <c r="D179" s="14">
        <f t="shared" si="4"/>
        <v>0</v>
      </c>
      <c r="E179" s="14">
        <f t="shared" si="5"/>
        <v>0</v>
      </c>
      <c r="I179" s="6"/>
    </row>
    <row r="180" spans="1:9" x14ac:dyDescent="0.3">
      <c r="A180" s="5">
        <v>179</v>
      </c>
      <c r="B180" s="8" t="s">
        <v>190</v>
      </c>
      <c r="D180" s="14">
        <f t="shared" si="4"/>
        <v>0</v>
      </c>
      <c r="E180" s="14">
        <f t="shared" si="5"/>
        <v>0</v>
      </c>
      <c r="I180" s="6"/>
    </row>
    <row r="181" spans="1:9" x14ac:dyDescent="0.3">
      <c r="A181" s="5">
        <v>180</v>
      </c>
      <c r="B181" s="8" t="s">
        <v>190</v>
      </c>
      <c r="D181" s="14">
        <f t="shared" si="4"/>
        <v>0</v>
      </c>
      <c r="E181" s="14">
        <f t="shared" si="5"/>
        <v>0</v>
      </c>
      <c r="I181" s="6"/>
    </row>
    <row r="182" spans="1:9" x14ac:dyDescent="0.3">
      <c r="A182" s="5">
        <v>181</v>
      </c>
      <c r="B182" s="8" t="s">
        <v>144</v>
      </c>
      <c r="D182" s="14">
        <f t="shared" si="4"/>
        <v>0</v>
      </c>
      <c r="E182" s="14">
        <f t="shared" si="5"/>
        <v>0</v>
      </c>
      <c r="I182" s="6"/>
    </row>
    <row r="183" spans="1:9" x14ac:dyDescent="0.3">
      <c r="A183" s="5">
        <v>182</v>
      </c>
      <c r="B183" s="8" t="s">
        <v>118</v>
      </c>
      <c r="D183" s="14">
        <f t="shared" si="4"/>
        <v>0</v>
      </c>
      <c r="E183" s="14">
        <f t="shared" si="5"/>
        <v>0</v>
      </c>
      <c r="I183" s="6"/>
    </row>
    <row r="184" spans="1:9" x14ac:dyDescent="0.3">
      <c r="A184" s="5">
        <v>183</v>
      </c>
      <c r="B184" s="8" t="s">
        <v>149</v>
      </c>
      <c r="D184" s="14">
        <f t="shared" si="4"/>
        <v>0</v>
      </c>
      <c r="E184" s="14">
        <f t="shared" si="5"/>
        <v>0</v>
      </c>
      <c r="I184" s="6"/>
    </row>
    <row r="185" spans="1:9" x14ac:dyDescent="0.3">
      <c r="A185" s="5">
        <v>184</v>
      </c>
      <c r="B185" s="8" t="s">
        <v>182</v>
      </c>
      <c r="D185" s="14">
        <f t="shared" si="4"/>
        <v>0</v>
      </c>
      <c r="E185" s="14">
        <f t="shared" si="5"/>
        <v>0</v>
      </c>
      <c r="I185" s="6"/>
    </row>
    <row r="186" spans="1:9" x14ac:dyDescent="0.3">
      <c r="A186" s="5">
        <v>185</v>
      </c>
      <c r="B186" s="8" t="s">
        <v>195</v>
      </c>
      <c r="D186" s="14">
        <f t="shared" si="4"/>
        <v>0</v>
      </c>
      <c r="E186" s="14">
        <f t="shared" si="5"/>
        <v>0</v>
      </c>
      <c r="I186" s="6"/>
    </row>
    <row r="187" spans="1:9" x14ac:dyDescent="0.3">
      <c r="A187" s="5">
        <v>186</v>
      </c>
      <c r="B187" s="8" t="s">
        <v>178</v>
      </c>
      <c r="D187" s="14">
        <f t="shared" si="4"/>
        <v>0</v>
      </c>
      <c r="E187" s="14">
        <f t="shared" si="5"/>
        <v>0</v>
      </c>
      <c r="I187" s="6"/>
    </row>
    <row r="188" spans="1:9" x14ac:dyDescent="0.3">
      <c r="A188" s="5">
        <v>187</v>
      </c>
      <c r="B188" s="8" t="s">
        <v>132</v>
      </c>
      <c r="D188" s="14">
        <f t="shared" si="4"/>
        <v>0</v>
      </c>
      <c r="E188" s="14">
        <f t="shared" si="5"/>
        <v>0</v>
      </c>
      <c r="I188" s="6"/>
    </row>
    <row r="189" spans="1:9" x14ac:dyDescent="0.3">
      <c r="A189" s="5">
        <v>188</v>
      </c>
      <c r="B189" s="8" t="s">
        <v>164</v>
      </c>
      <c r="D189" s="14">
        <f t="shared" si="4"/>
        <v>0</v>
      </c>
      <c r="E189" s="14">
        <f t="shared" si="5"/>
        <v>0</v>
      </c>
      <c r="I189" s="6"/>
    </row>
    <row r="190" spans="1:9" x14ac:dyDescent="0.3">
      <c r="A190" s="5">
        <v>189</v>
      </c>
      <c r="B190" s="8" t="s">
        <v>176</v>
      </c>
      <c r="D190" s="14">
        <f t="shared" si="4"/>
        <v>0</v>
      </c>
      <c r="E190" s="14">
        <f t="shared" si="5"/>
        <v>0</v>
      </c>
      <c r="I190" s="6"/>
    </row>
    <row r="191" spans="1:9" x14ac:dyDescent="0.3">
      <c r="A191" s="5">
        <v>190</v>
      </c>
      <c r="B191" s="8" t="s">
        <v>196</v>
      </c>
      <c r="D191" s="14">
        <f t="shared" si="4"/>
        <v>0</v>
      </c>
      <c r="E191" s="14">
        <f t="shared" si="5"/>
        <v>0</v>
      </c>
      <c r="I191" s="6"/>
    </row>
    <row r="192" spans="1:9" x14ac:dyDescent="0.3">
      <c r="A192" s="5">
        <v>191</v>
      </c>
      <c r="B192" s="8" t="s">
        <v>202</v>
      </c>
      <c r="D192" s="14">
        <f t="shared" si="4"/>
        <v>0</v>
      </c>
      <c r="E192" s="14">
        <f t="shared" si="5"/>
        <v>0</v>
      </c>
      <c r="I192" s="6"/>
    </row>
    <row r="193" spans="1:9" x14ac:dyDescent="0.3">
      <c r="A193" s="5">
        <v>192</v>
      </c>
      <c r="B193" s="8" t="s">
        <v>174</v>
      </c>
      <c r="D193" s="14">
        <f t="shared" si="4"/>
        <v>0</v>
      </c>
      <c r="E193" s="14">
        <f t="shared" si="5"/>
        <v>0</v>
      </c>
      <c r="I193" s="6"/>
    </row>
    <row r="194" spans="1:9" x14ac:dyDescent="0.3">
      <c r="A194" s="5">
        <v>193</v>
      </c>
      <c r="B194" s="8" t="s">
        <v>188</v>
      </c>
      <c r="D194" s="14">
        <f t="shared" si="4"/>
        <v>0</v>
      </c>
      <c r="E194" s="14">
        <f t="shared" si="5"/>
        <v>0</v>
      </c>
      <c r="I194" s="6"/>
    </row>
    <row r="195" spans="1:9" x14ac:dyDescent="0.3">
      <c r="A195" s="5">
        <v>194</v>
      </c>
      <c r="B195" s="8" t="s">
        <v>199</v>
      </c>
      <c r="D195" s="14">
        <f t="shared" ref="D195:D213" si="6">SUMIF($F:$F,B195,$G:$G)</f>
        <v>0</v>
      </c>
      <c r="E195" s="14">
        <f t="shared" ref="E195:E213" si="7">C195-D195</f>
        <v>0</v>
      </c>
      <c r="I195" s="6"/>
    </row>
    <row r="196" spans="1:9" x14ac:dyDescent="0.3">
      <c r="A196" s="5">
        <v>195</v>
      </c>
      <c r="B196" s="8" t="s">
        <v>197</v>
      </c>
      <c r="D196" s="14">
        <f t="shared" si="6"/>
        <v>0</v>
      </c>
      <c r="E196" s="14">
        <f t="shared" si="7"/>
        <v>0</v>
      </c>
      <c r="I196" s="6"/>
    </row>
    <row r="197" spans="1:9" x14ac:dyDescent="0.3">
      <c r="A197" s="5">
        <v>196</v>
      </c>
      <c r="B197" s="8" t="s">
        <v>184</v>
      </c>
      <c r="D197" s="14">
        <f t="shared" si="6"/>
        <v>0</v>
      </c>
      <c r="E197" s="14">
        <f t="shared" si="7"/>
        <v>0</v>
      </c>
      <c r="I197" s="6"/>
    </row>
    <row r="198" spans="1:9" x14ac:dyDescent="0.3">
      <c r="A198" s="5">
        <v>197</v>
      </c>
      <c r="B198" s="8" t="s">
        <v>203</v>
      </c>
      <c r="D198" s="14">
        <f t="shared" si="6"/>
        <v>0</v>
      </c>
      <c r="E198" s="14">
        <f t="shared" si="7"/>
        <v>0</v>
      </c>
      <c r="I198" s="6"/>
    </row>
    <row r="199" spans="1:9" x14ac:dyDescent="0.3">
      <c r="A199" s="5">
        <v>198</v>
      </c>
      <c r="B199" s="8" t="s">
        <v>133</v>
      </c>
      <c r="D199" s="14">
        <f t="shared" si="6"/>
        <v>0</v>
      </c>
      <c r="E199" s="14">
        <f t="shared" si="7"/>
        <v>0</v>
      </c>
      <c r="I199" s="6"/>
    </row>
    <row r="200" spans="1:9" x14ac:dyDescent="0.3">
      <c r="A200" s="5">
        <v>199</v>
      </c>
      <c r="B200" s="8" t="s">
        <v>191</v>
      </c>
      <c r="D200" s="14">
        <f t="shared" si="6"/>
        <v>0</v>
      </c>
      <c r="E200" s="14">
        <f t="shared" si="7"/>
        <v>0</v>
      </c>
      <c r="I200" s="6"/>
    </row>
    <row r="201" spans="1:9" x14ac:dyDescent="0.3">
      <c r="A201" s="5">
        <v>200</v>
      </c>
      <c r="B201" s="8" t="s">
        <v>189</v>
      </c>
      <c r="D201" s="14">
        <f t="shared" si="6"/>
        <v>0</v>
      </c>
      <c r="E201" s="14">
        <f t="shared" si="7"/>
        <v>0</v>
      </c>
      <c r="I201" s="6"/>
    </row>
    <row r="202" spans="1:9" x14ac:dyDescent="0.3">
      <c r="A202" s="5">
        <v>201</v>
      </c>
      <c r="B202" s="8" t="s">
        <v>55</v>
      </c>
      <c r="D202" s="14">
        <f t="shared" si="6"/>
        <v>0</v>
      </c>
      <c r="E202" s="14">
        <f t="shared" si="7"/>
        <v>0</v>
      </c>
      <c r="I202" s="6"/>
    </row>
    <row r="203" spans="1:9" x14ac:dyDescent="0.3">
      <c r="A203" s="5">
        <v>202</v>
      </c>
      <c r="B203" s="8" t="s">
        <v>173</v>
      </c>
      <c r="D203" s="14">
        <f t="shared" si="6"/>
        <v>0</v>
      </c>
      <c r="E203" s="14">
        <f t="shared" si="7"/>
        <v>0</v>
      </c>
      <c r="I203" s="6"/>
    </row>
    <row r="204" spans="1:9" x14ac:dyDescent="0.3">
      <c r="A204" s="5">
        <v>203</v>
      </c>
      <c r="B204" s="8" t="s">
        <v>204</v>
      </c>
      <c r="D204" s="14">
        <f t="shared" si="6"/>
        <v>0</v>
      </c>
      <c r="E204" s="14">
        <f t="shared" si="7"/>
        <v>0</v>
      </c>
      <c r="I204" s="6"/>
    </row>
    <row r="205" spans="1:9" x14ac:dyDescent="0.3">
      <c r="A205" s="5">
        <v>204</v>
      </c>
      <c r="B205" s="8" t="s">
        <v>46</v>
      </c>
      <c r="D205" s="14">
        <f t="shared" si="6"/>
        <v>0</v>
      </c>
      <c r="E205" s="14">
        <f t="shared" si="7"/>
        <v>0</v>
      </c>
      <c r="I205" s="6"/>
    </row>
    <row r="206" spans="1:9" x14ac:dyDescent="0.3">
      <c r="A206" s="5">
        <v>205</v>
      </c>
      <c r="B206" s="8" t="s">
        <v>183</v>
      </c>
      <c r="D206" s="14">
        <f t="shared" si="6"/>
        <v>0</v>
      </c>
      <c r="E206" s="14">
        <f t="shared" si="7"/>
        <v>0</v>
      </c>
      <c r="I206" s="6"/>
    </row>
    <row r="207" spans="1:9" x14ac:dyDescent="0.3">
      <c r="A207" s="5">
        <v>206</v>
      </c>
      <c r="B207" s="8" t="s">
        <v>205</v>
      </c>
      <c r="D207" s="14">
        <f t="shared" si="6"/>
        <v>0</v>
      </c>
      <c r="E207" s="14">
        <f t="shared" si="7"/>
        <v>0</v>
      </c>
      <c r="I207" s="6"/>
    </row>
    <row r="208" spans="1:9" x14ac:dyDescent="0.3">
      <c r="A208" s="5">
        <v>207</v>
      </c>
      <c r="B208" s="8" t="s">
        <v>206</v>
      </c>
      <c r="D208" s="14">
        <f t="shared" si="6"/>
        <v>0</v>
      </c>
      <c r="E208" s="14">
        <f t="shared" si="7"/>
        <v>0</v>
      </c>
      <c r="I208" s="6"/>
    </row>
    <row r="209" spans="1:9" x14ac:dyDescent="0.3">
      <c r="A209" s="5">
        <v>208</v>
      </c>
      <c r="B209" s="8" t="s">
        <v>198</v>
      </c>
      <c r="D209" s="14">
        <f t="shared" si="6"/>
        <v>0</v>
      </c>
      <c r="E209" s="14">
        <f t="shared" si="7"/>
        <v>0</v>
      </c>
      <c r="I209" s="6"/>
    </row>
    <row r="210" spans="1:9" x14ac:dyDescent="0.3">
      <c r="A210" s="5">
        <v>209</v>
      </c>
      <c r="B210" s="8" t="s">
        <v>201</v>
      </c>
      <c r="C210" s="5">
        <v>7</v>
      </c>
      <c r="D210" s="14">
        <f t="shared" si="6"/>
        <v>2</v>
      </c>
      <c r="E210" s="14">
        <f t="shared" si="7"/>
        <v>5</v>
      </c>
      <c r="I210" s="6"/>
    </row>
    <row r="211" spans="1:9" x14ac:dyDescent="0.3">
      <c r="A211" s="5">
        <v>210</v>
      </c>
      <c r="B211" s="8" t="s">
        <v>171</v>
      </c>
      <c r="D211" s="14">
        <f t="shared" si="6"/>
        <v>0</v>
      </c>
      <c r="E211" s="14">
        <f t="shared" si="7"/>
        <v>0</v>
      </c>
      <c r="I211" s="6"/>
    </row>
    <row r="212" spans="1:9" x14ac:dyDescent="0.3">
      <c r="A212" s="5">
        <v>211</v>
      </c>
      <c r="B212" s="8" t="s">
        <v>193</v>
      </c>
      <c r="D212" s="14">
        <f t="shared" si="6"/>
        <v>0</v>
      </c>
      <c r="E212" s="14">
        <f t="shared" si="7"/>
        <v>0</v>
      </c>
      <c r="I212" s="6"/>
    </row>
    <row r="213" spans="1:9" x14ac:dyDescent="0.3">
      <c r="A213" s="5">
        <v>212</v>
      </c>
      <c r="B213" s="8" t="s">
        <v>192</v>
      </c>
      <c r="D213" s="14">
        <f t="shared" si="6"/>
        <v>0</v>
      </c>
      <c r="E213" s="14">
        <f t="shared" si="7"/>
        <v>0</v>
      </c>
      <c r="I213" s="6"/>
    </row>
    <row r="214" spans="1:9" x14ac:dyDescent="0.3">
      <c r="A214" s="5">
        <v>213</v>
      </c>
      <c r="B214" s="8" t="s">
        <v>170</v>
      </c>
      <c r="D214" s="14">
        <f t="shared" ref="D214:D277" si="8">SUMIF($F:$F,B214,$G:$G)</f>
        <v>0</v>
      </c>
      <c r="E214" s="14">
        <f t="shared" ref="E214:E277" si="9">C214-D214</f>
        <v>0</v>
      </c>
      <c r="I214" s="6"/>
    </row>
    <row r="215" spans="1:9" x14ac:dyDescent="0.3">
      <c r="A215" s="5">
        <v>214</v>
      </c>
      <c r="B215" s="8" t="s">
        <v>429</v>
      </c>
      <c r="D215" s="14">
        <f t="shared" si="8"/>
        <v>0</v>
      </c>
      <c r="E215" s="14">
        <f t="shared" si="9"/>
        <v>0</v>
      </c>
      <c r="I215" s="6"/>
    </row>
    <row r="216" spans="1:9" x14ac:dyDescent="0.3">
      <c r="A216" s="5">
        <v>215</v>
      </c>
      <c r="B216" s="8" t="s">
        <v>430</v>
      </c>
      <c r="D216" s="14">
        <f t="shared" si="8"/>
        <v>0</v>
      </c>
      <c r="E216" s="14">
        <f t="shared" si="9"/>
        <v>0</v>
      </c>
      <c r="I216" s="6"/>
    </row>
    <row r="217" spans="1:9" x14ac:dyDescent="0.3">
      <c r="A217" s="5">
        <v>216</v>
      </c>
      <c r="B217" s="8" t="s">
        <v>431</v>
      </c>
      <c r="D217" s="14">
        <f t="shared" si="8"/>
        <v>0</v>
      </c>
      <c r="E217" s="14">
        <f t="shared" si="9"/>
        <v>0</v>
      </c>
      <c r="I217" s="6"/>
    </row>
    <row r="218" spans="1:9" x14ac:dyDescent="0.3">
      <c r="A218" s="5">
        <v>217</v>
      </c>
      <c r="B218" s="8" t="s">
        <v>432</v>
      </c>
      <c r="D218" s="14">
        <f t="shared" si="8"/>
        <v>0</v>
      </c>
      <c r="E218" s="14">
        <f t="shared" si="9"/>
        <v>0</v>
      </c>
      <c r="I218" s="6"/>
    </row>
    <row r="219" spans="1:9" x14ac:dyDescent="0.3">
      <c r="A219" s="5">
        <v>218</v>
      </c>
      <c r="B219" s="8" t="s">
        <v>433</v>
      </c>
      <c r="D219" s="14">
        <f t="shared" si="8"/>
        <v>0</v>
      </c>
      <c r="E219" s="14">
        <f t="shared" si="9"/>
        <v>0</v>
      </c>
      <c r="I219" s="6"/>
    </row>
    <row r="220" spans="1:9" x14ac:dyDescent="0.3">
      <c r="A220" s="5">
        <v>219</v>
      </c>
      <c r="B220" s="8" t="s">
        <v>434</v>
      </c>
      <c r="D220" s="14">
        <f t="shared" si="8"/>
        <v>0</v>
      </c>
      <c r="E220" s="14">
        <f t="shared" si="9"/>
        <v>0</v>
      </c>
      <c r="I220" s="6"/>
    </row>
    <row r="221" spans="1:9" x14ac:dyDescent="0.3">
      <c r="A221" s="5">
        <v>220</v>
      </c>
      <c r="B221" s="8" t="s">
        <v>435</v>
      </c>
      <c r="D221" s="14">
        <f t="shared" si="8"/>
        <v>0</v>
      </c>
      <c r="E221" s="14">
        <f t="shared" si="9"/>
        <v>0</v>
      </c>
      <c r="I221" s="6"/>
    </row>
    <row r="222" spans="1:9" x14ac:dyDescent="0.3">
      <c r="A222" s="5">
        <v>221</v>
      </c>
      <c r="B222" s="8" t="s">
        <v>436</v>
      </c>
      <c r="D222" s="14">
        <f t="shared" si="8"/>
        <v>0</v>
      </c>
      <c r="E222" s="14">
        <f t="shared" si="9"/>
        <v>0</v>
      </c>
      <c r="I222" s="6"/>
    </row>
    <row r="223" spans="1:9" x14ac:dyDescent="0.3">
      <c r="A223" s="5">
        <v>222</v>
      </c>
      <c r="B223" s="8" t="s">
        <v>437</v>
      </c>
      <c r="D223" s="14">
        <f t="shared" si="8"/>
        <v>0</v>
      </c>
      <c r="E223" s="14">
        <f t="shared" si="9"/>
        <v>0</v>
      </c>
      <c r="I223" s="6"/>
    </row>
    <row r="224" spans="1:9" x14ac:dyDescent="0.3">
      <c r="A224" s="5">
        <v>223</v>
      </c>
      <c r="B224" s="8" t="s">
        <v>438</v>
      </c>
      <c r="D224" s="14">
        <f t="shared" si="8"/>
        <v>0</v>
      </c>
      <c r="E224" s="14">
        <f t="shared" si="9"/>
        <v>0</v>
      </c>
      <c r="I224" s="6"/>
    </row>
    <row r="225" spans="1:9" x14ac:dyDescent="0.3">
      <c r="A225" s="5">
        <v>224</v>
      </c>
      <c r="B225" s="8" t="s">
        <v>439</v>
      </c>
      <c r="D225" s="14">
        <f t="shared" si="8"/>
        <v>0</v>
      </c>
      <c r="E225" s="14">
        <f t="shared" si="9"/>
        <v>0</v>
      </c>
      <c r="I225" s="6"/>
    </row>
    <row r="226" spans="1:9" x14ac:dyDescent="0.3">
      <c r="A226" s="5">
        <v>225</v>
      </c>
      <c r="B226" s="8" t="s">
        <v>440</v>
      </c>
      <c r="D226" s="14">
        <f t="shared" si="8"/>
        <v>0</v>
      </c>
      <c r="E226" s="14">
        <f t="shared" si="9"/>
        <v>0</v>
      </c>
      <c r="I226" s="6"/>
    </row>
    <row r="227" spans="1:9" x14ac:dyDescent="0.3">
      <c r="A227" s="5">
        <v>226</v>
      </c>
      <c r="B227" s="8" t="s">
        <v>441</v>
      </c>
      <c r="D227" s="14">
        <f t="shared" si="8"/>
        <v>0</v>
      </c>
      <c r="E227" s="14">
        <f t="shared" si="9"/>
        <v>0</v>
      </c>
      <c r="I227" s="6"/>
    </row>
    <row r="228" spans="1:9" x14ac:dyDescent="0.3">
      <c r="A228" s="5">
        <v>227</v>
      </c>
      <c r="B228" s="8" t="s">
        <v>442</v>
      </c>
      <c r="D228" s="14">
        <f t="shared" si="8"/>
        <v>0</v>
      </c>
      <c r="E228" s="14">
        <f t="shared" si="9"/>
        <v>0</v>
      </c>
      <c r="I228" s="6"/>
    </row>
    <row r="229" spans="1:9" x14ac:dyDescent="0.3">
      <c r="A229" s="5">
        <v>228</v>
      </c>
      <c r="B229" s="8" t="s">
        <v>443</v>
      </c>
      <c r="D229" s="14">
        <f t="shared" si="8"/>
        <v>0</v>
      </c>
      <c r="E229" s="14">
        <f t="shared" si="9"/>
        <v>0</v>
      </c>
      <c r="I229" s="6"/>
    </row>
    <row r="230" spans="1:9" x14ac:dyDescent="0.3">
      <c r="A230" s="5">
        <v>229</v>
      </c>
      <c r="B230" s="8" t="s">
        <v>444</v>
      </c>
      <c r="D230" s="14">
        <f t="shared" si="8"/>
        <v>0</v>
      </c>
      <c r="E230" s="14">
        <f t="shared" si="9"/>
        <v>0</v>
      </c>
      <c r="I230" s="6"/>
    </row>
    <row r="231" spans="1:9" x14ac:dyDescent="0.3">
      <c r="A231" s="5">
        <v>230</v>
      </c>
      <c r="B231" s="8" t="s">
        <v>445</v>
      </c>
      <c r="D231" s="14">
        <f t="shared" si="8"/>
        <v>0</v>
      </c>
      <c r="E231" s="14">
        <f t="shared" si="9"/>
        <v>0</v>
      </c>
    </row>
    <row r="232" spans="1:9" x14ac:dyDescent="0.3">
      <c r="A232" s="5">
        <v>231</v>
      </c>
      <c r="B232" s="8" t="s">
        <v>165</v>
      </c>
      <c r="D232" s="14">
        <f t="shared" si="8"/>
        <v>0</v>
      </c>
      <c r="E232" s="14">
        <f t="shared" si="9"/>
        <v>0</v>
      </c>
    </row>
    <row r="233" spans="1:9" x14ac:dyDescent="0.3">
      <c r="A233" s="5">
        <v>232</v>
      </c>
      <c r="B233" s="8" t="s">
        <v>446</v>
      </c>
      <c r="D233" s="14">
        <f t="shared" si="8"/>
        <v>0</v>
      </c>
      <c r="E233" s="14">
        <f t="shared" si="9"/>
        <v>0</v>
      </c>
    </row>
    <row r="234" spans="1:9" x14ac:dyDescent="0.3">
      <c r="A234" s="5">
        <v>233</v>
      </c>
      <c r="B234" s="8" t="s">
        <v>447</v>
      </c>
      <c r="D234" s="14">
        <f t="shared" si="8"/>
        <v>0</v>
      </c>
      <c r="E234" s="14">
        <f t="shared" si="9"/>
        <v>0</v>
      </c>
    </row>
    <row r="235" spans="1:9" x14ac:dyDescent="0.3">
      <c r="A235" s="5">
        <v>234</v>
      </c>
      <c r="B235" s="8" t="s">
        <v>448</v>
      </c>
      <c r="D235" s="14">
        <f t="shared" si="8"/>
        <v>0</v>
      </c>
      <c r="E235" s="14">
        <f t="shared" si="9"/>
        <v>0</v>
      </c>
    </row>
    <row r="236" spans="1:9" x14ac:dyDescent="0.3">
      <c r="A236" s="5">
        <v>235</v>
      </c>
      <c r="B236" s="8" t="s">
        <v>449</v>
      </c>
      <c r="D236" s="14">
        <f t="shared" si="8"/>
        <v>0</v>
      </c>
      <c r="E236" s="14">
        <f t="shared" si="9"/>
        <v>0</v>
      </c>
    </row>
    <row r="237" spans="1:9" x14ac:dyDescent="0.3">
      <c r="A237" s="5">
        <v>236</v>
      </c>
      <c r="B237" s="8" t="s">
        <v>450</v>
      </c>
      <c r="D237" s="14">
        <f t="shared" si="8"/>
        <v>0</v>
      </c>
      <c r="E237" s="14">
        <f t="shared" si="9"/>
        <v>0</v>
      </c>
    </row>
    <row r="238" spans="1:9" x14ac:dyDescent="0.3">
      <c r="A238" s="5">
        <v>237</v>
      </c>
      <c r="B238" s="8" t="s">
        <v>451</v>
      </c>
      <c r="D238" s="14">
        <f t="shared" si="8"/>
        <v>0</v>
      </c>
      <c r="E238" s="14">
        <f t="shared" si="9"/>
        <v>0</v>
      </c>
    </row>
    <row r="239" spans="1:9" x14ac:dyDescent="0.3">
      <c r="A239" s="5">
        <v>238</v>
      </c>
      <c r="B239" s="8" t="s">
        <v>452</v>
      </c>
      <c r="D239" s="14">
        <f t="shared" si="8"/>
        <v>0</v>
      </c>
      <c r="E239" s="14">
        <f t="shared" si="9"/>
        <v>0</v>
      </c>
    </row>
    <row r="240" spans="1:9" x14ac:dyDescent="0.3">
      <c r="A240" s="5">
        <v>239</v>
      </c>
      <c r="B240" s="8" t="s">
        <v>453</v>
      </c>
      <c r="D240" s="14">
        <f t="shared" si="8"/>
        <v>0</v>
      </c>
      <c r="E240" s="14">
        <f t="shared" si="9"/>
        <v>0</v>
      </c>
    </row>
    <row r="241" spans="1:5" x14ac:dyDescent="0.3">
      <c r="A241" s="5">
        <v>240</v>
      </c>
      <c r="B241" s="8" t="s">
        <v>454</v>
      </c>
      <c r="D241" s="14">
        <f t="shared" si="8"/>
        <v>0</v>
      </c>
      <c r="E241" s="14">
        <f t="shared" si="9"/>
        <v>0</v>
      </c>
    </row>
    <row r="242" spans="1:5" x14ac:dyDescent="0.3">
      <c r="A242" s="5">
        <v>241</v>
      </c>
      <c r="B242" s="8" t="s">
        <v>455</v>
      </c>
      <c r="D242" s="14">
        <f t="shared" si="8"/>
        <v>0</v>
      </c>
      <c r="E242" s="14">
        <f t="shared" si="9"/>
        <v>0</v>
      </c>
    </row>
    <row r="243" spans="1:5" x14ac:dyDescent="0.3">
      <c r="A243" s="5">
        <v>242</v>
      </c>
      <c r="B243" s="8" t="s">
        <v>200</v>
      </c>
      <c r="D243" s="14">
        <f t="shared" si="8"/>
        <v>0</v>
      </c>
      <c r="E243" s="14">
        <f t="shared" si="9"/>
        <v>0</v>
      </c>
    </row>
    <row r="244" spans="1:5" x14ac:dyDescent="0.3">
      <c r="A244" s="5">
        <v>243</v>
      </c>
      <c r="B244" s="8" t="s">
        <v>456</v>
      </c>
      <c r="D244" s="14">
        <f t="shared" si="8"/>
        <v>0</v>
      </c>
      <c r="E244" s="14">
        <f t="shared" si="9"/>
        <v>0</v>
      </c>
    </row>
    <row r="245" spans="1:5" x14ac:dyDescent="0.3">
      <c r="A245" s="5">
        <v>244</v>
      </c>
      <c r="B245" s="8" t="s">
        <v>457</v>
      </c>
      <c r="D245" s="14">
        <f t="shared" si="8"/>
        <v>0</v>
      </c>
      <c r="E245" s="14">
        <f t="shared" si="9"/>
        <v>0</v>
      </c>
    </row>
    <row r="246" spans="1:5" x14ac:dyDescent="0.3">
      <c r="A246" s="5">
        <v>245</v>
      </c>
      <c r="B246" s="8" t="s">
        <v>458</v>
      </c>
      <c r="D246" s="14">
        <f t="shared" si="8"/>
        <v>0</v>
      </c>
      <c r="E246" s="14">
        <f t="shared" si="9"/>
        <v>0</v>
      </c>
    </row>
    <row r="247" spans="1:5" x14ac:dyDescent="0.3">
      <c r="A247" s="5">
        <v>246</v>
      </c>
      <c r="B247" s="8" t="s">
        <v>459</v>
      </c>
      <c r="D247" s="14">
        <f t="shared" si="8"/>
        <v>0</v>
      </c>
      <c r="E247" s="14">
        <f t="shared" si="9"/>
        <v>0</v>
      </c>
    </row>
    <row r="248" spans="1:5" x14ac:dyDescent="0.3">
      <c r="A248" s="5">
        <v>247</v>
      </c>
      <c r="B248" s="8" t="s">
        <v>460</v>
      </c>
      <c r="D248" s="14">
        <f t="shared" si="8"/>
        <v>0</v>
      </c>
      <c r="E248" s="14">
        <f t="shared" si="9"/>
        <v>0</v>
      </c>
    </row>
    <row r="249" spans="1:5" x14ac:dyDescent="0.3">
      <c r="A249" s="5">
        <v>248</v>
      </c>
      <c r="B249" s="8" t="s">
        <v>461</v>
      </c>
      <c r="D249" s="14">
        <f t="shared" si="8"/>
        <v>0</v>
      </c>
      <c r="E249" s="14">
        <f t="shared" si="9"/>
        <v>0</v>
      </c>
    </row>
    <row r="250" spans="1:5" x14ac:dyDescent="0.3">
      <c r="A250" s="5">
        <v>249</v>
      </c>
      <c r="B250" s="8" t="s">
        <v>462</v>
      </c>
      <c r="D250" s="14">
        <f t="shared" si="8"/>
        <v>0</v>
      </c>
      <c r="E250" s="14">
        <f t="shared" si="9"/>
        <v>0</v>
      </c>
    </row>
    <row r="251" spans="1:5" x14ac:dyDescent="0.3">
      <c r="A251" s="5">
        <v>250</v>
      </c>
      <c r="B251" s="8" t="s">
        <v>463</v>
      </c>
      <c r="D251" s="14">
        <f t="shared" si="8"/>
        <v>0</v>
      </c>
      <c r="E251" s="14">
        <f t="shared" si="9"/>
        <v>0</v>
      </c>
    </row>
    <row r="252" spans="1:5" x14ac:dyDescent="0.3">
      <c r="A252" s="5">
        <v>251</v>
      </c>
      <c r="B252" s="8" t="s">
        <v>464</v>
      </c>
      <c r="D252" s="14">
        <f t="shared" si="8"/>
        <v>0</v>
      </c>
      <c r="E252" s="14">
        <f t="shared" si="9"/>
        <v>0</v>
      </c>
    </row>
    <row r="253" spans="1:5" x14ac:dyDescent="0.3">
      <c r="A253" s="5">
        <v>252</v>
      </c>
      <c r="B253" s="8" t="s">
        <v>465</v>
      </c>
      <c r="D253" s="14">
        <f t="shared" si="8"/>
        <v>0</v>
      </c>
      <c r="E253" s="14">
        <f t="shared" si="9"/>
        <v>0</v>
      </c>
    </row>
    <row r="254" spans="1:5" x14ac:dyDescent="0.3">
      <c r="A254" s="5">
        <v>253</v>
      </c>
      <c r="B254" s="8" t="s">
        <v>466</v>
      </c>
      <c r="D254" s="14">
        <f t="shared" si="8"/>
        <v>0</v>
      </c>
      <c r="E254" s="14">
        <f t="shared" si="9"/>
        <v>0</v>
      </c>
    </row>
    <row r="255" spans="1:5" x14ac:dyDescent="0.3">
      <c r="A255" s="5">
        <v>254</v>
      </c>
      <c r="B255" s="8" t="s">
        <v>467</v>
      </c>
      <c r="D255" s="14">
        <f t="shared" si="8"/>
        <v>0</v>
      </c>
      <c r="E255" s="14">
        <f t="shared" si="9"/>
        <v>0</v>
      </c>
    </row>
    <row r="256" spans="1:5" x14ac:dyDescent="0.3">
      <c r="A256" s="5">
        <v>255</v>
      </c>
      <c r="B256" s="8" t="s">
        <v>468</v>
      </c>
      <c r="D256" s="14">
        <f t="shared" si="8"/>
        <v>0</v>
      </c>
      <c r="E256" s="14">
        <f t="shared" si="9"/>
        <v>0</v>
      </c>
    </row>
    <row r="257" spans="1:5" x14ac:dyDescent="0.3">
      <c r="A257" s="5">
        <v>256</v>
      </c>
      <c r="B257" s="8" t="s">
        <v>469</v>
      </c>
      <c r="D257" s="14">
        <f t="shared" si="8"/>
        <v>0</v>
      </c>
      <c r="E257" s="14">
        <f t="shared" si="9"/>
        <v>0</v>
      </c>
    </row>
    <row r="258" spans="1:5" x14ac:dyDescent="0.3">
      <c r="A258" s="5">
        <v>257</v>
      </c>
      <c r="B258" s="8" t="s">
        <v>470</v>
      </c>
      <c r="D258" s="14">
        <f t="shared" si="8"/>
        <v>0</v>
      </c>
      <c r="E258" s="14">
        <f t="shared" si="9"/>
        <v>0</v>
      </c>
    </row>
    <row r="259" spans="1:5" x14ac:dyDescent="0.3">
      <c r="A259" s="5">
        <v>258</v>
      </c>
      <c r="B259" s="8" t="s">
        <v>470</v>
      </c>
      <c r="D259" s="14">
        <f t="shared" si="8"/>
        <v>0</v>
      </c>
      <c r="E259" s="14">
        <f t="shared" si="9"/>
        <v>0</v>
      </c>
    </row>
    <row r="260" spans="1:5" x14ac:dyDescent="0.3">
      <c r="A260" s="5">
        <v>259</v>
      </c>
      <c r="B260" s="8" t="s">
        <v>471</v>
      </c>
      <c r="D260" s="14">
        <f t="shared" si="8"/>
        <v>0</v>
      </c>
      <c r="E260" s="14">
        <f t="shared" si="9"/>
        <v>0</v>
      </c>
    </row>
    <row r="261" spans="1:5" x14ac:dyDescent="0.3">
      <c r="A261" s="5">
        <v>260</v>
      </c>
      <c r="B261" s="8" t="s">
        <v>472</v>
      </c>
      <c r="D261" s="14">
        <f t="shared" si="8"/>
        <v>0</v>
      </c>
      <c r="E261" s="14">
        <f t="shared" si="9"/>
        <v>0</v>
      </c>
    </row>
    <row r="262" spans="1:5" x14ac:dyDescent="0.3">
      <c r="A262" s="5">
        <v>261</v>
      </c>
      <c r="B262" s="8" t="s">
        <v>473</v>
      </c>
      <c r="D262" s="14">
        <f t="shared" si="8"/>
        <v>0</v>
      </c>
      <c r="E262" s="14">
        <f t="shared" si="9"/>
        <v>0</v>
      </c>
    </row>
    <row r="263" spans="1:5" x14ac:dyDescent="0.3">
      <c r="A263" s="5">
        <v>262</v>
      </c>
      <c r="B263" s="8" t="s">
        <v>474</v>
      </c>
      <c r="D263" s="14">
        <f t="shared" si="8"/>
        <v>0</v>
      </c>
      <c r="E263" s="14">
        <f t="shared" si="9"/>
        <v>0</v>
      </c>
    </row>
    <row r="264" spans="1:5" x14ac:dyDescent="0.3">
      <c r="A264" s="5">
        <v>263</v>
      </c>
      <c r="B264" s="8" t="s">
        <v>475</v>
      </c>
      <c r="D264" s="14">
        <f t="shared" si="8"/>
        <v>0</v>
      </c>
      <c r="E264" s="14">
        <f t="shared" si="9"/>
        <v>0</v>
      </c>
    </row>
    <row r="265" spans="1:5" x14ac:dyDescent="0.3">
      <c r="A265" s="5">
        <v>264</v>
      </c>
      <c r="B265" s="8" t="s">
        <v>476</v>
      </c>
      <c r="D265" s="14">
        <f t="shared" si="8"/>
        <v>0</v>
      </c>
      <c r="E265" s="14">
        <f t="shared" si="9"/>
        <v>0</v>
      </c>
    </row>
    <row r="266" spans="1:5" x14ac:dyDescent="0.3">
      <c r="A266" s="5">
        <v>265</v>
      </c>
      <c r="B266" s="8" t="s">
        <v>477</v>
      </c>
      <c r="D266" s="14">
        <f t="shared" si="8"/>
        <v>0</v>
      </c>
      <c r="E266" s="14">
        <f t="shared" si="9"/>
        <v>0</v>
      </c>
    </row>
    <row r="267" spans="1:5" x14ac:dyDescent="0.3">
      <c r="A267" s="5">
        <v>266</v>
      </c>
      <c r="B267" s="8" t="s">
        <v>478</v>
      </c>
      <c r="D267" s="14">
        <f t="shared" si="8"/>
        <v>0</v>
      </c>
      <c r="E267" s="14">
        <f t="shared" si="9"/>
        <v>0</v>
      </c>
    </row>
    <row r="268" spans="1:5" x14ac:dyDescent="0.3">
      <c r="A268" s="5">
        <v>267</v>
      </c>
      <c r="B268" s="8" t="s">
        <v>479</v>
      </c>
      <c r="D268" s="14">
        <f t="shared" si="8"/>
        <v>0</v>
      </c>
      <c r="E268" s="14">
        <f t="shared" si="9"/>
        <v>0</v>
      </c>
    </row>
    <row r="269" spans="1:5" x14ac:dyDescent="0.3">
      <c r="A269" s="5">
        <v>268</v>
      </c>
      <c r="B269" s="8" t="s">
        <v>480</v>
      </c>
      <c r="D269" s="14">
        <f t="shared" si="8"/>
        <v>0</v>
      </c>
      <c r="E269" s="14">
        <f t="shared" si="9"/>
        <v>0</v>
      </c>
    </row>
    <row r="270" spans="1:5" x14ac:dyDescent="0.3">
      <c r="A270" s="5">
        <v>269</v>
      </c>
      <c r="B270" s="8" t="s">
        <v>481</v>
      </c>
      <c r="D270" s="14">
        <f t="shared" si="8"/>
        <v>0</v>
      </c>
      <c r="E270" s="14">
        <f t="shared" si="9"/>
        <v>0</v>
      </c>
    </row>
    <row r="271" spans="1:5" x14ac:dyDescent="0.3">
      <c r="A271" s="5">
        <v>270</v>
      </c>
      <c r="B271" s="8" t="s">
        <v>482</v>
      </c>
      <c r="D271" s="14">
        <f t="shared" si="8"/>
        <v>0</v>
      </c>
      <c r="E271" s="14">
        <f t="shared" si="9"/>
        <v>0</v>
      </c>
    </row>
    <row r="272" spans="1:5" x14ac:dyDescent="0.3">
      <c r="A272" s="5">
        <v>271</v>
      </c>
      <c r="B272" s="8" t="s">
        <v>483</v>
      </c>
      <c r="D272" s="14">
        <f t="shared" si="8"/>
        <v>0</v>
      </c>
      <c r="E272" s="14">
        <f t="shared" si="9"/>
        <v>0</v>
      </c>
    </row>
    <row r="273" spans="1:5" x14ac:dyDescent="0.3">
      <c r="A273" s="5">
        <v>272</v>
      </c>
      <c r="B273" s="8" t="s">
        <v>484</v>
      </c>
      <c r="D273" s="14">
        <f t="shared" si="8"/>
        <v>0</v>
      </c>
      <c r="E273" s="14">
        <f t="shared" si="9"/>
        <v>0</v>
      </c>
    </row>
    <row r="274" spans="1:5" x14ac:dyDescent="0.3">
      <c r="A274" s="5">
        <v>273</v>
      </c>
      <c r="B274" s="8" t="s">
        <v>485</v>
      </c>
      <c r="D274" s="14">
        <f t="shared" si="8"/>
        <v>0</v>
      </c>
      <c r="E274" s="14">
        <f t="shared" si="9"/>
        <v>0</v>
      </c>
    </row>
    <row r="275" spans="1:5" x14ac:dyDescent="0.3">
      <c r="A275" s="5">
        <v>274</v>
      </c>
      <c r="B275" s="8" t="s">
        <v>486</v>
      </c>
      <c r="D275" s="14">
        <f t="shared" si="8"/>
        <v>0</v>
      </c>
      <c r="E275" s="14">
        <f t="shared" si="9"/>
        <v>0</v>
      </c>
    </row>
    <row r="276" spans="1:5" x14ac:dyDescent="0.3">
      <c r="A276" s="5">
        <v>275</v>
      </c>
      <c r="B276" s="8" t="s">
        <v>487</v>
      </c>
      <c r="D276" s="14">
        <f t="shared" si="8"/>
        <v>0</v>
      </c>
      <c r="E276" s="14">
        <f t="shared" si="9"/>
        <v>0</v>
      </c>
    </row>
    <row r="277" spans="1:5" x14ac:dyDescent="0.3">
      <c r="A277" s="5">
        <v>276</v>
      </c>
      <c r="B277" s="8" t="s">
        <v>488</v>
      </c>
      <c r="D277" s="14">
        <f t="shared" si="8"/>
        <v>0</v>
      </c>
      <c r="E277" s="14">
        <f t="shared" si="9"/>
        <v>0</v>
      </c>
    </row>
    <row r="278" spans="1:5" x14ac:dyDescent="0.3">
      <c r="A278" s="5">
        <v>277</v>
      </c>
      <c r="B278" s="8" t="s">
        <v>489</v>
      </c>
      <c r="D278" s="14">
        <f t="shared" ref="D278:D341" si="10">SUMIF($F:$F,B278,$G:$G)</f>
        <v>0</v>
      </c>
      <c r="E278" s="14">
        <f t="shared" ref="E278:E341" si="11">C278-D278</f>
        <v>0</v>
      </c>
    </row>
    <row r="279" spans="1:5" x14ac:dyDescent="0.3">
      <c r="A279" s="5">
        <v>278</v>
      </c>
      <c r="B279" s="8" t="s">
        <v>490</v>
      </c>
      <c r="D279" s="14">
        <f t="shared" si="10"/>
        <v>0</v>
      </c>
      <c r="E279" s="14">
        <f t="shared" si="11"/>
        <v>0</v>
      </c>
    </row>
    <row r="280" spans="1:5" x14ac:dyDescent="0.3">
      <c r="A280" s="5">
        <v>279</v>
      </c>
      <c r="B280" s="8" t="s">
        <v>491</v>
      </c>
      <c r="D280" s="14">
        <f t="shared" si="10"/>
        <v>0</v>
      </c>
      <c r="E280" s="14">
        <f t="shared" si="11"/>
        <v>0</v>
      </c>
    </row>
    <row r="281" spans="1:5" x14ac:dyDescent="0.3">
      <c r="A281" s="5">
        <v>280</v>
      </c>
      <c r="B281" s="8" t="s">
        <v>492</v>
      </c>
      <c r="D281" s="14">
        <f t="shared" si="10"/>
        <v>0</v>
      </c>
      <c r="E281" s="14">
        <f t="shared" si="11"/>
        <v>0</v>
      </c>
    </row>
    <row r="282" spans="1:5" x14ac:dyDescent="0.3">
      <c r="A282" s="5">
        <v>281</v>
      </c>
      <c r="B282" s="8" t="s">
        <v>493</v>
      </c>
      <c r="D282" s="14">
        <f t="shared" si="10"/>
        <v>0</v>
      </c>
      <c r="E282" s="14">
        <f t="shared" si="11"/>
        <v>0</v>
      </c>
    </row>
    <row r="283" spans="1:5" x14ac:dyDescent="0.3">
      <c r="A283" s="5">
        <v>282</v>
      </c>
      <c r="B283" s="8" t="s">
        <v>494</v>
      </c>
      <c r="D283" s="14">
        <f t="shared" si="10"/>
        <v>0</v>
      </c>
      <c r="E283" s="14">
        <f t="shared" si="11"/>
        <v>0</v>
      </c>
    </row>
    <row r="284" spans="1:5" x14ac:dyDescent="0.3">
      <c r="A284" s="5">
        <v>283</v>
      </c>
      <c r="B284" s="8" t="s">
        <v>495</v>
      </c>
      <c r="D284" s="14">
        <f t="shared" si="10"/>
        <v>0</v>
      </c>
      <c r="E284" s="14">
        <f t="shared" si="11"/>
        <v>0</v>
      </c>
    </row>
    <row r="285" spans="1:5" x14ac:dyDescent="0.3">
      <c r="A285" s="5">
        <v>284</v>
      </c>
      <c r="B285" s="8" t="s">
        <v>496</v>
      </c>
      <c r="D285" s="14">
        <f t="shared" si="10"/>
        <v>0</v>
      </c>
      <c r="E285" s="14">
        <f t="shared" si="11"/>
        <v>0</v>
      </c>
    </row>
    <row r="286" spans="1:5" x14ac:dyDescent="0.3">
      <c r="A286" s="5">
        <v>285</v>
      </c>
      <c r="B286" s="8" t="s">
        <v>497</v>
      </c>
      <c r="D286" s="14">
        <f t="shared" si="10"/>
        <v>0</v>
      </c>
      <c r="E286" s="14">
        <f t="shared" si="11"/>
        <v>0</v>
      </c>
    </row>
    <row r="287" spans="1:5" x14ac:dyDescent="0.3">
      <c r="A287" s="5">
        <v>286</v>
      </c>
      <c r="B287" s="8" t="s">
        <v>498</v>
      </c>
      <c r="D287" s="14">
        <f t="shared" si="10"/>
        <v>0</v>
      </c>
      <c r="E287" s="14">
        <f t="shared" si="11"/>
        <v>0</v>
      </c>
    </row>
    <row r="288" spans="1:5" x14ac:dyDescent="0.3">
      <c r="A288" s="5">
        <v>287</v>
      </c>
      <c r="B288" s="8" t="s">
        <v>499</v>
      </c>
      <c r="D288" s="14">
        <f t="shared" si="10"/>
        <v>0</v>
      </c>
      <c r="E288" s="14">
        <f t="shared" si="11"/>
        <v>0</v>
      </c>
    </row>
    <row r="289" spans="1:5" x14ac:dyDescent="0.3">
      <c r="A289" s="5">
        <v>288</v>
      </c>
      <c r="B289" s="8" t="s">
        <v>500</v>
      </c>
      <c r="D289" s="14">
        <f t="shared" si="10"/>
        <v>0</v>
      </c>
      <c r="E289" s="14">
        <f t="shared" si="11"/>
        <v>0</v>
      </c>
    </row>
    <row r="290" spans="1:5" x14ac:dyDescent="0.3">
      <c r="A290" s="5">
        <v>289</v>
      </c>
      <c r="B290" s="8" t="s">
        <v>501</v>
      </c>
      <c r="D290" s="14">
        <f t="shared" si="10"/>
        <v>0</v>
      </c>
      <c r="E290" s="14">
        <f t="shared" si="11"/>
        <v>0</v>
      </c>
    </row>
    <row r="291" spans="1:5" x14ac:dyDescent="0.3">
      <c r="A291" s="5">
        <v>290</v>
      </c>
      <c r="B291" s="8" t="s">
        <v>502</v>
      </c>
      <c r="D291" s="14">
        <f t="shared" si="10"/>
        <v>0</v>
      </c>
      <c r="E291" s="14">
        <f t="shared" si="11"/>
        <v>0</v>
      </c>
    </row>
    <row r="292" spans="1:5" x14ac:dyDescent="0.3">
      <c r="A292" s="5">
        <v>291</v>
      </c>
      <c r="B292" s="8" t="s">
        <v>503</v>
      </c>
      <c r="D292" s="14">
        <f t="shared" si="10"/>
        <v>0</v>
      </c>
      <c r="E292" s="14">
        <f t="shared" si="11"/>
        <v>0</v>
      </c>
    </row>
    <row r="293" spans="1:5" x14ac:dyDescent="0.3">
      <c r="A293" s="5">
        <v>292</v>
      </c>
      <c r="B293" s="8" t="s">
        <v>504</v>
      </c>
      <c r="D293" s="14">
        <f t="shared" si="10"/>
        <v>0</v>
      </c>
      <c r="E293" s="14">
        <f t="shared" si="11"/>
        <v>0</v>
      </c>
    </row>
    <row r="294" spans="1:5" x14ac:dyDescent="0.3">
      <c r="A294" s="5">
        <v>293</v>
      </c>
      <c r="B294" s="8" t="s">
        <v>505</v>
      </c>
      <c r="D294" s="14">
        <f t="shared" si="10"/>
        <v>0</v>
      </c>
      <c r="E294" s="14">
        <f t="shared" si="11"/>
        <v>0</v>
      </c>
    </row>
    <row r="295" spans="1:5" x14ac:dyDescent="0.3">
      <c r="A295" s="5">
        <v>294</v>
      </c>
      <c r="B295" s="8" t="s">
        <v>506</v>
      </c>
      <c r="D295" s="14">
        <f t="shared" si="10"/>
        <v>0</v>
      </c>
      <c r="E295" s="14">
        <f t="shared" si="11"/>
        <v>0</v>
      </c>
    </row>
    <row r="296" spans="1:5" x14ac:dyDescent="0.3">
      <c r="A296" s="5">
        <v>295</v>
      </c>
      <c r="B296" s="8" t="s">
        <v>507</v>
      </c>
      <c r="D296" s="14">
        <f t="shared" si="10"/>
        <v>0</v>
      </c>
      <c r="E296" s="14">
        <f t="shared" si="11"/>
        <v>0</v>
      </c>
    </row>
    <row r="297" spans="1:5" x14ac:dyDescent="0.3">
      <c r="A297" s="5">
        <v>296</v>
      </c>
      <c r="B297" s="8" t="s">
        <v>508</v>
      </c>
      <c r="D297" s="14">
        <f t="shared" si="10"/>
        <v>0</v>
      </c>
      <c r="E297" s="14">
        <f t="shared" si="11"/>
        <v>0</v>
      </c>
    </row>
    <row r="298" spans="1:5" x14ac:dyDescent="0.3">
      <c r="A298" s="5">
        <v>297</v>
      </c>
      <c r="B298" s="8" t="s">
        <v>509</v>
      </c>
      <c r="D298" s="14">
        <f t="shared" si="10"/>
        <v>0</v>
      </c>
      <c r="E298" s="14">
        <f t="shared" si="11"/>
        <v>0</v>
      </c>
    </row>
    <row r="299" spans="1:5" x14ac:dyDescent="0.3">
      <c r="A299" s="5">
        <v>298</v>
      </c>
      <c r="B299" s="8" t="s">
        <v>510</v>
      </c>
      <c r="D299" s="14">
        <f t="shared" si="10"/>
        <v>0</v>
      </c>
      <c r="E299" s="14">
        <f t="shared" si="11"/>
        <v>0</v>
      </c>
    </row>
    <row r="300" spans="1:5" x14ac:dyDescent="0.3">
      <c r="A300" s="5">
        <v>299</v>
      </c>
      <c r="B300" s="8" t="s">
        <v>511</v>
      </c>
      <c r="D300" s="14">
        <f t="shared" si="10"/>
        <v>0</v>
      </c>
      <c r="E300" s="14">
        <f t="shared" si="11"/>
        <v>0</v>
      </c>
    </row>
    <row r="301" spans="1:5" x14ac:dyDescent="0.3">
      <c r="A301" s="5">
        <v>300</v>
      </c>
      <c r="B301" s="8" t="s">
        <v>512</v>
      </c>
      <c r="D301" s="14">
        <f t="shared" si="10"/>
        <v>0</v>
      </c>
      <c r="E301" s="14">
        <f t="shared" si="11"/>
        <v>0</v>
      </c>
    </row>
    <row r="302" spans="1:5" x14ac:dyDescent="0.3">
      <c r="A302" s="5">
        <v>301</v>
      </c>
      <c r="B302" s="8" t="s">
        <v>513</v>
      </c>
      <c r="D302" s="14">
        <f t="shared" si="10"/>
        <v>0</v>
      </c>
      <c r="E302" s="14">
        <f t="shared" si="11"/>
        <v>0</v>
      </c>
    </row>
    <row r="303" spans="1:5" x14ac:dyDescent="0.3">
      <c r="A303" s="5">
        <v>302</v>
      </c>
      <c r="B303" s="8" t="s">
        <v>514</v>
      </c>
      <c r="D303" s="14">
        <f t="shared" si="10"/>
        <v>0</v>
      </c>
      <c r="E303" s="14">
        <f t="shared" si="11"/>
        <v>0</v>
      </c>
    </row>
    <row r="304" spans="1:5" x14ac:dyDescent="0.3">
      <c r="A304" s="5">
        <v>303</v>
      </c>
      <c r="B304" s="8" t="s">
        <v>515</v>
      </c>
      <c r="D304" s="14">
        <f t="shared" si="10"/>
        <v>0</v>
      </c>
      <c r="E304" s="14">
        <f t="shared" si="11"/>
        <v>0</v>
      </c>
    </row>
    <row r="305" spans="1:5" x14ac:dyDescent="0.3">
      <c r="A305" s="5">
        <v>304</v>
      </c>
      <c r="B305" s="8" t="s">
        <v>516</v>
      </c>
      <c r="D305" s="14">
        <f t="shared" si="10"/>
        <v>0</v>
      </c>
      <c r="E305" s="14">
        <f t="shared" si="11"/>
        <v>0</v>
      </c>
    </row>
    <row r="306" spans="1:5" x14ac:dyDescent="0.3">
      <c r="A306" s="5">
        <v>305</v>
      </c>
      <c r="B306" s="8" t="s">
        <v>517</v>
      </c>
      <c r="D306" s="14">
        <f t="shared" si="10"/>
        <v>0</v>
      </c>
      <c r="E306" s="14">
        <f t="shared" si="11"/>
        <v>0</v>
      </c>
    </row>
    <row r="307" spans="1:5" x14ac:dyDescent="0.3">
      <c r="A307" s="5">
        <v>306</v>
      </c>
      <c r="B307" s="8" t="s">
        <v>518</v>
      </c>
      <c r="D307" s="14">
        <f t="shared" si="10"/>
        <v>0</v>
      </c>
      <c r="E307" s="14">
        <f t="shared" si="11"/>
        <v>0</v>
      </c>
    </row>
    <row r="308" spans="1:5" x14ac:dyDescent="0.3">
      <c r="A308" s="5">
        <v>307</v>
      </c>
      <c r="B308" s="8" t="s">
        <v>519</v>
      </c>
      <c r="D308" s="14">
        <f t="shared" si="10"/>
        <v>0</v>
      </c>
      <c r="E308" s="14">
        <f t="shared" si="11"/>
        <v>0</v>
      </c>
    </row>
    <row r="309" spans="1:5" x14ac:dyDescent="0.3">
      <c r="A309" s="5">
        <v>308</v>
      </c>
      <c r="B309" s="8" t="s">
        <v>520</v>
      </c>
      <c r="D309" s="14">
        <f t="shared" si="10"/>
        <v>0</v>
      </c>
      <c r="E309" s="14">
        <f t="shared" si="11"/>
        <v>0</v>
      </c>
    </row>
    <row r="310" spans="1:5" x14ac:dyDescent="0.3">
      <c r="A310" s="5">
        <v>309</v>
      </c>
      <c r="B310" s="8" t="s">
        <v>521</v>
      </c>
      <c r="D310" s="14">
        <f t="shared" si="10"/>
        <v>0</v>
      </c>
      <c r="E310" s="14">
        <f t="shared" si="11"/>
        <v>0</v>
      </c>
    </row>
    <row r="311" spans="1:5" x14ac:dyDescent="0.3">
      <c r="A311" s="5">
        <v>310</v>
      </c>
      <c r="B311" s="8" t="s">
        <v>522</v>
      </c>
      <c r="D311" s="14">
        <f t="shared" si="10"/>
        <v>0</v>
      </c>
      <c r="E311" s="14">
        <f t="shared" si="11"/>
        <v>0</v>
      </c>
    </row>
    <row r="312" spans="1:5" x14ac:dyDescent="0.3">
      <c r="A312" s="5">
        <v>311</v>
      </c>
      <c r="B312" s="8" t="s">
        <v>523</v>
      </c>
      <c r="D312" s="14">
        <f t="shared" si="10"/>
        <v>0</v>
      </c>
      <c r="E312" s="14">
        <f t="shared" si="11"/>
        <v>0</v>
      </c>
    </row>
    <row r="313" spans="1:5" x14ac:dyDescent="0.3">
      <c r="A313" s="5">
        <v>312</v>
      </c>
      <c r="B313" s="8" t="s">
        <v>524</v>
      </c>
      <c r="D313" s="14">
        <f t="shared" si="10"/>
        <v>0</v>
      </c>
      <c r="E313" s="14">
        <f t="shared" si="11"/>
        <v>0</v>
      </c>
    </row>
    <row r="314" spans="1:5" x14ac:dyDescent="0.3">
      <c r="A314" s="5">
        <v>313</v>
      </c>
      <c r="B314" s="8" t="s">
        <v>525</v>
      </c>
      <c r="D314" s="14">
        <f t="shared" si="10"/>
        <v>0</v>
      </c>
      <c r="E314" s="14">
        <f t="shared" si="11"/>
        <v>0</v>
      </c>
    </row>
    <row r="315" spans="1:5" x14ac:dyDescent="0.3">
      <c r="A315" s="5">
        <v>314</v>
      </c>
      <c r="B315" s="8" t="s">
        <v>526</v>
      </c>
      <c r="D315" s="14">
        <f t="shared" si="10"/>
        <v>0</v>
      </c>
      <c r="E315" s="14">
        <f t="shared" si="11"/>
        <v>0</v>
      </c>
    </row>
    <row r="316" spans="1:5" x14ac:dyDescent="0.3">
      <c r="A316" s="5">
        <v>315</v>
      </c>
      <c r="B316" s="8" t="s">
        <v>527</v>
      </c>
      <c r="D316" s="14">
        <f t="shared" si="10"/>
        <v>0</v>
      </c>
      <c r="E316" s="14">
        <f t="shared" si="11"/>
        <v>0</v>
      </c>
    </row>
    <row r="317" spans="1:5" x14ac:dyDescent="0.3">
      <c r="A317" s="5">
        <v>316</v>
      </c>
      <c r="B317" s="8" t="s">
        <v>528</v>
      </c>
      <c r="D317" s="14">
        <f t="shared" si="10"/>
        <v>0</v>
      </c>
      <c r="E317" s="14">
        <f t="shared" si="11"/>
        <v>0</v>
      </c>
    </row>
    <row r="318" spans="1:5" x14ac:dyDescent="0.3">
      <c r="A318" s="5">
        <v>317</v>
      </c>
      <c r="B318" s="8" t="s">
        <v>529</v>
      </c>
      <c r="D318" s="14">
        <f t="shared" si="10"/>
        <v>0</v>
      </c>
      <c r="E318" s="14">
        <f t="shared" si="11"/>
        <v>0</v>
      </c>
    </row>
    <row r="319" spans="1:5" x14ac:dyDescent="0.3">
      <c r="A319" s="5">
        <v>318</v>
      </c>
      <c r="B319" s="8" t="s">
        <v>530</v>
      </c>
      <c r="D319" s="14">
        <f t="shared" si="10"/>
        <v>0</v>
      </c>
      <c r="E319" s="14">
        <f t="shared" si="11"/>
        <v>0</v>
      </c>
    </row>
    <row r="320" spans="1:5" x14ac:dyDescent="0.3">
      <c r="A320" s="5">
        <v>319</v>
      </c>
      <c r="B320" s="8" t="s">
        <v>598</v>
      </c>
      <c r="D320" s="14">
        <f t="shared" si="10"/>
        <v>0</v>
      </c>
      <c r="E320" s="14">
        <f t="shared" si="11"/>
        <v>0</v>
      </c>
    </row>
    <row r="321" spans="1:5" x14ac:dyDescent="0.3">
      <c r="A321" s="5">
        <v>320</v>
      </c>
      <c r="B321" s="8" t="s">
        <v>599</v>
      </c>
      <c r="D321" s="14">
        <f t="shared" si="10"/>
        <v>0</v>
      </c>
      <c r="E321" s="14">
        <f t="shared" si="11"/>
        <v>0</v>
      </c>
    </row>
    <row r="322" spans="1:5" x14ac:dyDescent="0.3">
      <c r="A322" s="5">
        <v>321</v>
      </c>
      <c r="B322" s="8" t="s">
        <v>600</v>
      </c>
      <c r="D322" s="14">
        <f t="shared" si="10"/>
        <v>0</v>
      </c>
      <c r="E322" s="14">
        <f t="shared" si="11"/>
        <v>0</v>
      </c>
    </row>
    <row r="323" spans="1:5" x14ac:dyDescent="0.3">
      <c r="A323" s="5">
        <v>322</v>
      </c>
      <c r="B323" t="s">
        <v>967</v>
      </c>
      <c r="D323" s="14">
        <f t="shared" si="10"/>
        <v>0</v>
      </c>
      <c r="E323" s="14">
        <f t="shared" si="11"/>
        <v>0</v>
      </c>
    </row>
    <row r="324" spans="1:5" x14ac:dyDescent="0.3">
      <c r="A324" s="5">
        <v>323</v>
      </c>
      <c r="B324" t="s">
        <v>481</v>
      </c>
      <c r="D324" s="14">
        <f t="shared" si="10"/>
        <v>0</v>
      </c>
      <c r="E324" s="14">
        <f t="shared" si="11"/>
        <v>0</v>
      </c>
    </row>
    <row r="325" spans="1:5" x14ac:dyDescent="0.3">
      <c r="A325" s="5">
        <v>324</v>
      </c>
      <c r="B325" t="s">
        <v>968</v>
      </c>
      <c r="D325" s="14">
        <f t="shared" si="10"/>
        <v>0</v>
      </c>
      <c r="E325" s="14">
        <f t="shared" si="11"/>
        <v>0</v>
      </c>
    </row>
    <row r="326" spans="1:5" x14ac:dyDescent="0.3">
      <c r="A326" s="5">
        <v>325</v>
      </c>
      <c r="B326" t="s">
        <v>969</v>
      </c>
      <c r="D326" s="14">
        <f t="shared" si="10"/>
        <v>0</v>
      </c>
      <c r="E326" s="14">
        <f t="shared" si="11"/>
        <v>0</v>
      </c>
    </row>
    <row r="327" spans="1:5" x14ac:dyDescent="0.3">
      <c r="A327" s="5">
        <v>326</v>
      </c>
      <c r="B327" t="s">
        <v>970</v>
      </c>
      <c r="D327" s="14">
        <f t="shared" si="10"/>
        <v>0</v>
      </c>
      <c r="E327" s="14">
        <f t="shared" si="11"/>
        <v>0</v>
      </c>
    </row>
    <row r="328" spans="1:5" x14ac:dyDescent="0.3">
      <c r="A328" s="5">
        <v>327</v>
      </c>
      <c r="B328" t="s">
        <v>974</v>
      </c>
      <c r="D328" s="14">
        <f t="shared" si="10"/>
        <v>0</v>
      </c>
      <c r="E328" s="14">
        <f t="shared" si="11"/>
        <v>0</v>
      </c>
    </row>
    <row r="329" spans="1:5" x14ac:dyDescent="0.3">
      <c r="A329" s="5">
        <v>328</v>
      </c>
      <c r="B329" t="s">
        <v>987</v>
      </c>
      <c r="D329" s="14">
        <f t="shared" si="10"/>
        <v>0</v>
      </c>
      <c r="E329" s="14">
        <f t="shared" si="11"/>
        <v>0</v>
      </c>
    </row>
    <row r="330" spans="1:5" x14ac:dyDescent="0.3">
      <c r="A330" s="5">
        <v>329</v>
      </c>
      <c r="B330" t="s">
        <v>975</v>
      </c>
      <c r="D330" s="14">
        <f t="shared" si="10"/>
        <v>0</v>
      </c>
      <c r="E330" s="14">
        <f t="shared" si="11"/>
        <v>0</v>
      </c>
    </row>
    <row r="331" spans="1:5" x14ac:dyDescent="0.3">
      <c r="A331" s="5">
        <v>330</v>
      </c>
      <c r="B331" t="s">
        <v>976</v>
      </c>
      <c r="D331" s="14">
        <f t="shared" si="10"/>
        <v>0</v>
      </c>
      <c r="E331" s="14">
        <f t="shared" si="11"/>
        <v>0</v>
      </c>
    </row>
    <row r="332" spans="1:5" x14ac:dyDescent="0.3">
      <c r="A332" s="5">
        <v>331</v>
      </c>
      <c r="B332" t="s">
        <v>977</v>
      </c>
      <c r="D332" s="14">
        <f t="shared" si="10"/>
        <v>0</v>
      </c>
      <c r="E332" s="14">
        <f t="shared" si="11"/>
        <v>0</v>
      </c>
    </row>
    <row r="333" spans="1:5" x14ac:dyDescent="0.3">
      <c r="A333" s="5">
        <v>332</v>
      </c>
      <c r="B333" t="s">
        <v>978</v>
      </c>
      <c r="D333" s="14">
        <f t="shared" si="10"/>
        <v>0</v>
      </c>
      <c r="E333" s="14">
        <f t="shared" si="11"/>
        <v>0</v>
      </c>
    </row>
    <row r="334" spans="1:5" x14ac:dyDescent="0.3">
      <c r="A334" s="5">
        <v>333</v>
      </c>
      <c r="B334" t="s">
        <v>979</v>
      </c>
      <c r="D334" s="14">
        <f t="shared" si="10"/>
        <v>0</v>
      </c>
      <c r="E334" s="14">
        <f t="shared" si="11"/>
        <v>0</v>
      </c>
    </row>
    <row r="335" spans="1:5" x14ac:dyDescent="0.3">
      <c r="A335" s="5">
        <v>334</v>
      </c>
      <c r="B335" t="s">
        <v>990</v>
      </c>
      <c r="D335" s="14">
        <f t="shared" si="10"/>
        <v>0</v>
      </c>
      <c r="E335" s="14">
        <f t="shared" si="11"/>
        <v>0</v>
      </c>
    </row>
    <row r="336" spans="1:5" x14ac:dyDescent="0.3">
      <c r="A336" s="5">
        <v>335</v>
      </c>
      <c r="B336" t="s">
        <v>989</v>
      </c>
      <c r="D336" s="14">
        <f t="shared" si="10"/>
        <v>0</v>
      </c>
      <c r="E336" s="14">
        <f t="shared" si="11"/>
        <v>0</v>
      </c>
    </row>
    <row r="337" spans="1:5" x14ac:dyDescent="0.3">
      <c r="A337" s="5">
        <v>336</v>
      </c>
      <c r="B337" t="s">
        <v>991</v>
      </c>
      <c r="D337" s="14">
        <f t="shared" si="10"/>
        <v>0</v>
      </c>
      <c r="E337" s="14">
        <f t="shared" si="11"/>
        <v>0</v>
      </c>
    </row>
    <row r="338" spans="1:5" x14ac:dyDescent="0.3">
      <c r="A338" s="5">
        <v>337</v>
      </c>
      <c r="B338" t="s">
        <v>992</v>
      </c>
      <c r="D338" s="14">
        <f t="shared" si="10"/>
        <v>0</v>
      </c>
      <c r="E338" s="14">
        <f t="shared" si="11"/>
        <v>0</v>
      </c>
    </row>
    <row r="339" spans="1:5" x14ac:dyDescent="0.3">
      <c r="A339" s="5">
        <v>338</v>
      </c>
      <c r="B339" t="s">
        <v>993</v>
      </c>
      <c r="D339" s="14">
        <f t="shared" si="10"/>
        <v>0</v>
      </c>
      <c r="E339" s="14">
        <f t="shared" si="11"/>
        <v>0</v>
      </c>
    </row>
    <row r="340" spans="1:5" x14ac:dyDescent="0.3">
      <c r="A340" s="5">
        <v>339</v>
      </c>
      <c r="B340" t="s">
        <v>997</v>
      </c>
      <c r="D340" s="14">
        <f t="shared" si="10"/>
        <v>0</v>
      </c>
      <c r="E340" s="14">
        <f t="shared" si="11"/>
        <v>0</v>
      </c>
    </row>
    <row r="341" spans="1:5" x14ac:dyDescent="0.3">
      <c r="A341" s="5">
        <v>340</v>
      </c>
      <c r="B341" t="s">
        <v>998</v>
      </c>
      <c r="D341" s="14">
        <f t="shared" si="10"/>
        <v>0</v>
      </c>
      <c r="E341" s="14">
        <f t="shared" si="11"/>
        <v>0</v>
      </c>
    </row>
    <row r="342" spans="1:5" x14ac:dyDescent="0.3">
      <c r="A342" s="5">
        <v>341</v>
      </c>
      <c r="B342" t="s">
        <v>999</v>
      </c>
      <c r="D342" s="14">
        <f t="shared" ref="D342:D365" si="12">SUMIF($F:$F,B342,$G:$G)</f>
        <v>0</v>
      </c>
      <c r="E342" s="14">
        <f t="shared" ref="E342:E365" si="13">C342-D342</f>
        <v>0</v>
      </c>
    </row>
    <row r="343" spans="1:5" x14ac:dyDescent="0.3">
      <c r="A343" s="5">
        <v>342</v>
      </c>
      <c r="B343" t="s">
        <v>1007</v>
      </c>
      <c r="D343" s="14">
        <f t="shared" si="12"/>
        <v>0</v>
      </c>
      <c r="E343" s="14">
        <f t="shared" si="13"/>
        <v>0</v>
      </c>
    </row>
    <row r="344" spans="1:5" x14ac:dyDescent="0.3">
      <c r="A344" s="5">
        <v>343</v>
      </c>
      <c r="B344" t="s">
        <v>1002</v>
      </c>
      <c r="D344" s="14">
        <f t="shared" si="12"/>
        <v>0</v>
      </c>
      <c r="E344" s="14">
        <f t="shared" si="13"/>
        <v>0</v>
      </c>
    </row>
    <row r="345" spans="1:5" x14ac:dyDescent="0.3">
      <c r="A345" s="5">
        <v>344</v>
      </c>
      <c r="B345" t="s">
        <v>1000</v>
      </c>
      <c r="D345" s="14">
        <f t="shared" si="12"/>
        <v>0</v>
      </c>
      <c r="E345" s="14">
        <f t="shared" si="13"/>
        <v>0</v>
      </c>
    </row>
    <row r="346" spans="1:5" x14ac:dyDescent="0.3">
      <c r="A346" s="5">
        <v>345</v>
      </c>
      <c r="B346" t="s">
        <v>1001</v>
      </c>
      <c r="D346" s="14">
        <f t="shared" si="12"/>
        <v>0</v>
      </c>
      <c r="E346" s="14">
        <f t="shared" si="13"/>
        <v>0</v>
      </c>
    </row>
    <row r="347" spans="1:5" x14ac:dyDescent="0.3">
      <c r="A347" s="5">
        <v>346</v>
      </c>
      <c r="B347" t="s">
        <v>1012</v>
      </c>
      <c r="D347" s="14">
        <f t="shared" si="12"/>
        <v>0</v>
      </c>
      <c r="E347" s="14">
        <f t="shared" si="13"/>
        <v>0</v>
      </c>
    </row>
    <row r="348" spans="1:5" x14ac:dyDescent="0.3">
      <c r="A348" s="5">
        <v>347</v>
      </c>
      <c r="B348" t="s">
        <v>1013</v>
      </c>
      <c r="D348" s="14">
        <f t="shared" si="12"/>
        <v>0</v>
      </c>
      <c r="E348" s="14">
        <f t="shared" si="13"/>
        <v>0</v>
      </c>
    </row>
    <row r="349" spans="1:5" x14ac:dyDescent="0.3">
      <c r="A349" s="5">
        <v>348</v>
      </c>
      <c r="B349" t="s">
        <v>1014</v>
      </c>
      <c r="D349" s="14">
        <f t="shared" si="12"/>
        <v>0</v>
      </c>
      <c r="E349" s="14">
        <f t="shared" si="13"/>
        <v>0</v>
      </c>
    </row>
    <row r="350" spans="1:5" x14ac:dyDescent="0.3">
      <c r="A350" s="5">
        <v>349</v>
      </c>
      <c r="B350" t="s">
        <v>1015</v>
      </c>
      <c r="D350" s="14">
        <f t="shared" si="12"/>
        <v>0</v>
      </c>
      <c r="E350" s="14">
        <f t="shared" si="13"/>
        <v>0</v>
      </c>
    </row>
    <row r="351" spans="1:5" x14ac:dyDescent="0.3">
      <c r="A351" s="5">
        <v>350</v>
      </c>
      <c r="B351" t="s">
        <v>1023</v>
      </c>
      <c r="D351" s="14">
        <f t="shared" si="12"/>
        <v>0</v>
      </c>
      <c r="E351" s="14">
        <f t="shared" si="13"/>
        <v>0</v>
      </c>
    </row>
    <row r="352" spans="1:5" x14ac:dyDescent="0.3">
      <c r="A352" s="5">
        <v>351</v>
      </c>
      <c r="B352" t="s">
        <v>1016</v>
      </c>
      <c r="D352" s="14">
        <f t="shared" si="12"/>
        <v>0</v>
      </c>
      <c r="E352" s="14">
        <f t="shared" si="13"/>
        <v>0</v>
      </c>
    </row>
    <row r="353" spans="1:5" x14ac:dyDescent="0.3">
      <c r="A353" s="5">
        <v>352</v>
      </c>
      <c r="B353" t="s">
        <v>1017</v>
      </c>
      <c r="D353" s="14">
        <f t="shared" si="12"/>
        <v>0</v>
      </c>
      <c r="E353" s="14">
        <f t="shared" si="13"/>
        <v>0</v>
      </c>
    </row>
    <row r="354" spans="1:5" x14ac:dyDescent="0.3">
      <c r="A354" s="5">
        <v>353</v>
      </c>
      <c r="B354" t="s">
        <v>1026</v>
      </c>
      <c r="D354" s="14">
        <f t="shared" si="12"/>
        <v>0</v>
      </c>
      <c r="E354" s="14">
        <f t="shared" si="13"/>
        <v>0</v>
      </c>
    </row>
    <row r="355" spans="1:5" x14ac:dyDescent="0.3">
      <c r="A355" s="5">
        <v>354</v>
      </c>
      <c r="B355" t="s">
        <v>1030</v>
      </c>
      <c r="D355" s="14">
        <f t="shared" si="12"/>
        <v>0</v>
      </c>
      <c r="E355" s="14">
        <f t="shared" si="13"/>
        <v>0</v>
      </c>
    </row>
    <row r="356" spans="1:5" x14ac:dyDescent="0.3">
      <c r="A356" s="5">
        <v>355</v>
      </c>
      <c r="B356" t="s">
        <v>1029</v>
      </c>
      <c r="D356" s="14">
        <f t="shared" si="12"/>
        <v>0</v>
      </c>
      <c r="E356" s="14">
        <f t="shared" si="13"/>
        <v>0</v>
      </c>
    </row>
    <row r="357" spans="1:5" x14ac:dyDescent="0.3">
      <c r="A357" s="5">
        <v>356</v>
      </c>
      <c r="B357" t="s">
        <v>1611</v>
      </c>
      <c r="D357" s="14">
        <f t="shared" si="12"/>
        <v>0</v>
      </c>
      <c r="E357" s="14">
        <f t="shared" si="13"/>
        <v>0</v>
      </c>
    </row>
    <row r="358" spans="1:5" x14ac:dyDescent="0.3">
      <c r="A358" s="5">
        <v>357</v>
      </c>
      <c r="B358" t="s">
        <v>1613</v>
      </c>
      <c r="D358" s="14">
        <f t="shared" si="12"/>
        <v>0</v>
      </c>
      <c r="E358" s="14">
        <f t="shared" si="13"/>
        <v>0</v>
      </c>
    </row>
    <row r="359" spans="1:5" x14ac:dyDescent="0.3">
      <c r="A359" s="5">
        <v>358</v>
      </c>
      <c r="B359" t="s">
        <v>1605</v>
      </c>
      <c r="D359" s="14">
        <f t="shared" si="12"/>
        <v>0</v>
      </c>
      <c r="E359" s="14">
        <f t="shared" si="13"/>
        <v>0</v>
      </c>
    </row>
    <row r="360" spans="1:5" x14ac:dyDescent="0.3">
      <c r="A360" s="5">
        <v>359</v>
      </c>
      <c r="B360" t="s">
        <v>1606</v>
      </c>
      <c r="D360" s="14">
        <f t="shared" si="12"/>
        <v>0</v>
      </c>
      <c r="E360" s="14">
        <f t="shared" si="13"/>
        <v>0</v>
      </c>
    </row>
    <row r="361" spans="1:5" x14ac:dyDescent="0.3">
      <c r="A361" s="5">
        <v>360</v>
      </c>
      <c r="B361" t="s">
        <v>1607</v>
      </c>
      <c r="D361" s="14">
        <f t="shared" si="12"/>
        <v>0</v>
      </c>
      <c r="E361" s="14">
        <f t="shared" si="13"/>
        <v>0</v>
      </c>
    </row>
    <row r="362" spans="1:5" x14ac:dyDescent="0.3">
      <c r="A362" s="5">
        <v>361</v>
      </c>
      <c r="B362" t="s">
        <v>1608</v>
      </c>
      <c r="D362" s="14">
        <f t="shared" si="12"/>
        <v>0</v>
      </c>
      <c r="E362" s="14">
        <f t="shared" si="13"/>
        <v>0</v>
      </c>
    </row>
    <row r="363" spans="1:5" x14ac:dyDescent="0.3">
      <c r="A363" s="5">
        <v>362</v>
      </c>
      <c r="B363" t="s">
        <v>1609</v>
      </c>
      <c r="D363" s="14">
        <f t="shared" si="12"/>
        <v>0</v>
      </c>
      <c r="E363" s="14">
        <f t="shared" si="13"/>
        <v>0</v>
      </c>
    </row>
    <row r="364" spans="1:5" x14ac:dyDescent="0.3">
      <c r="A364" s="5">
        <v>363</v>
      </c>
      <c r="B364" t="s">
        <v>1353</v>
      </c>
      <c r="D364" s="14">
        <f t="shared" si="12"/>
        <v>0</v>
      </c>
      <c r="E364" s="14">
        <f t="shared" si="13"/>
        <v>0</v>
      </c>
    </row>
    <row r="365" spans="1:5" x14ac:dyDescent="0.3">
      <c r="A365" s="5">
        <v>364</v>
      </c>
      <c r="B365" t="s">
        <v>1610</v>
      </c>
      <c r="D365" s="14">
        <f t="shared" si="12"/>
        <v>0</v>
      </c>
      <c r="E365" s="14">
        <f t="shared" si="1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FF00"/>
  </sheetPr>
  <dimension ref="A1:O356"/>
  <sheetViews>
    <sheetView topLeftCell="A334" workbookViewId="0">
      <selection activeCell="B354" sqref="B354"/>
    </sheetView>
  </sheetViews>
  <sheetFormatPr defaultRowHeight="14.4" x14ac:dyDescent="0.3"/>
  <cols>
    <col min="1" max="1" width="4" bestFit="1" customWidth="1"/>
    <col min="2" max="2" width="52.109375" bestFit="1" customWidth="1"/>
    <col min="3" max="3" width="23" bestFit="1" customWidth="1"/>
    <col min="4" max="4" width="10.109375" bestFit="1" customWidth="1"/>
    <col min="5" max="5" width="16.6640625" bestFit="1" customWidth="1"/>
    <col min="6" max="6" width="21.5546875" bestFit="1" customWidth="1"/>
    <col min="7" max="7" width="16" style="6" bestFit="1" customWidth="1"/>
    <col min="8" max="8" width="6" style="6" bestFit="1" customWidth="1"/>
    <col min="9" max="9" width="19.6640625" style="6" bestFit="1" customWidth="1"/>
    <col min="10" max="10" width="6" style="6" bestFit="1" customWidth="1"/>
    <col min="11" max="11" width="16" style="6" bestFit="1" customWidth="1"/>
    <col min="12" max="12" width="6" style="6" bestFit="1" customWidth="1"/>
    <col min="13" max="13" width="19" style="6" bestFit="1" customWidth="1"/>
    <col min="14" max="14" width="11.44140625" bestFit="1" customWidth="1"/>
  </cols>
  <sheetData>
    <row r="1" spans="1:15" x14ac:dyDescent="0.3">
      <c r="A1" s="9" t="s">
        <v>0</v>
      </c>
      <c r="B1" s="9" t="s">
        <v>1</v>
      </c>
      <c r="C1" s="9" t="s">
        <v>360</v>
      </c>
      <c r="D1" s="9" t="s">
        <v>359</v>
      </c>
      <c r="E1" s="9" t="s">
        <v>606</v>
      </c>
      <c r="F1" s="25" t="s">
        <v>955</v>
      </c>
      <c r="G1" s="9" t="s">
        <v>411</v>
      </c>
      <c r="H1" s="11" t="s">
        <v>397</v>
      </c>
      <c r="I1" s="9" t="s">
        <v>413</v>
      </c>
      <c r="J1" s="11" t="s">
        <v>397</v>
      </c>
      <c r="K1" s="9" t="s">
        <v>412</v>
      </c>
      <c r="L1" s="11" t="s">
        <v>397</v>
      </c>
      <c r="M1" s="9" t="s">
        <v>415</v>
      </c>
      <c r="O1">
        <v>180</v>
      </c>
    </row>
    <row r="2" spans="1:15" x14ac:dyDescent="0.3">
      <c r="A2">
        <v>1</v>
      </c>
      <c r="B2" t="s">
        <v>23</v>
      </c>
      <c r="C2" t="s">
        <v>362</v>
      </c>
      <c r="D2" t="s">
        <v>228</v>
      </c>
      <c r="E2" t="s">
        <v>618</v>
      </c>
      <c r="F2" s="6">
        <v>45618</v>
      </c>
      <c r="G2" s="6">
        <f t="shared" ref="G2:G65" si="0">F2+$O$1</f>
        <v>45798</v>
      </c>
      <c r="I2" s="6">
        <f>G2+$O$1</f>
        <v>45978</v>
      </c>
      <c r="M2" s="6">
        <f>IF(H2="Done",IF(J2="Done",IF(L2="Done","-",K2),I2),G2)</f>
        <v>45798</v>
      </c>
      <c r="N2" s="6"/>
    </row>
    <row r="3" spans="1:15" x14ac:dyDescent="0.3">
      <c r="A3">
        <v>2</v>
      </c>
      <c r="B3" t="s">
        <v>22</v>
      </c>
      <c r="C3" t="s">
        <v>365</v>
      </c>
      <c r="D3" t="s">
        <v>227</v>
      </c>
      <c r="E3" t="s">
        <v>607</v>
      </c>
      <c r="F3" s="6">
        <v>45620</v>
      </c>
      <c r="G3" s="6">
        <f t="shared" si="0"/>
        <v>45800</v>
      </c>
      <c r="I3" s="6">
        <f t="shared" ref="I3:I66" si="1">G3+$O$1</f>
        <v>45980</v>
      </c>
      <c r="M3" s="6">
        <f t="shared" ref="M3:M66" si="2">IF(H3="Done",IF(J3="Done",IF(L3="Done","-",K3),I3),G3)</f>
        <v>45800</v>
      </c>
    </row>
    <row r="4" spans="1:15" x14ac:dyDescent="0.3">
      <c r="A4">
        <v>3</v>
      </c>
      <c r="B4" t="s">
        <v>3</v>
      </c>
      <c r="C4" t="s">
        <v>362</v>
      </c>
      <c r="D4" t="s">
        <v>208</v>
      </c>
      <c r="E4" t="s">
        <v>608</v>
      </c>
      <c r="F4" s="6">
        <v>45430</v>
      </c>
      <c r="G4" s="6">
        <f t="shared" si="0"/>
        <v>45610</v>
      </c>
      <c r="I4" s="6">
        <f t="shared" si="1"/>
        <v>45790</v>
      </c>
      <c r="M4" s="6">
        <f t="shared" si="2"/>
        <v>45610</v>
      </c>
    </row>
    <row r="5" spans="1:15" x14ac:dyDescent="0.3">
      <c r="A5">
        <v>4</v>
      </c>
      <c r="B5" t="s">
        <v>4</v>
      </c>
      <c r="C5" t="s">
        <v>363</v>
      </c>
      <c r="D5" t="s">
        <v>209</v>
      </c>
      <c r="E5" t="s">
        <v>609</v>
      </c>
      <c r="F5" s="6">
        <v>45176</v>
      </c>
      <c r="G5" s="6">
        <f t="shared" si="0"/>
        <v>45356</v>
      </c>
      <c r="I5" s="6">
        <f t="shared" si="1"/>
        <v>45536</v>
      </c>
      <c r="M5" s="6">
        <f t="shared" si="2"/>
        <v>45356</v>
      </c>
    </row>
    <row r="6" spans="1:15" x14ac:dyDescent="0.3">
      <c r="A6">
        <v>5</v>
      </c>
      <c r="B6" t="s">
        <v>2</v>
      </c>
      <c r="C6" t="s">
        <v>361</v>
      </c>
      <c r="D6" t="s">
        <v>207</v>
      </c>
      <c r="E6" t="s">
        <v>608</v>
      </c>
      <c r="F6" s="6">
        <v>45800</v>
      </c>
      <c r="G6" s="6">
        <f t="shared" si="0"/>
        <v>45980</v>
      </c>
      <c r="I6" s="6">
        <f t="shared" si="1"/>
        <v>46160</v>
      </c>
      <c r="M6" s="6">
        <f t="shared" si="2"/>
        <v>45980</v>
      </c>
    </row>
    <row r="7" spans="1:15" x14ac:dyDescent="0.3">
      <c r="A7">
        <v>6</v>
      </c>
      <c r="B7" t="s">
        <v>9</v>
      </c>
      <c r="C7" t="s">
        <v>362</v>
      </c>
      <c r="D7" t="s">
        <v>214</v>
      </c>
      <c r="E7" t="s">
        <v>610</v>
      </c>
      <c r="F7" s="6">
        <v>45685</v>
      </c>
      <c r="G7" s="6">
        <f t="shared" si="0"/>
        <v>45865</v>
      </c>
      <c r="I7" s="6">
        <f t="shared" si="1"/>
        <v>46045</v>
      </c>
      <c r="M7" s="6">
        <f t="shared" si="2"/>
        <v>45865</v>
      </c>
    </row>
    <row r="8" spans="1:15" x14ac:dyDescent="0.3">
      <c r="A8">
        <v>7</v>
      </c>
      <c r="B8" t="s">
        <v>14</v>
      </c>
      <c r="C8" t="s">
        <v>362</v>
      </c>
      <c r="D8" t="s">
        <v>219</v>
      </c>
      <c r="E8" t="s">
        <v>611</v>
      </c>
      <c r="F8" s="6">
        <v>45499</v>
      </c>
      <c r="G8" s="6">
        <f t="shared" si="0"/>
        <v>45679</v>
      </c>
      <c r="I8" s="6">
        <f t="shared" si="1"/>
        <v>45859</v>
      </c>
      <c r="M8" s="6">
        <f t="shared" si="2"/>
        <v>45679</v>
      </c>
    </row>
    <row r="9" spans="1:15" x14ac:dyDescent="0.3">
      <c r="A9">
        <v>8</v>
      </c>
      <c r="B9" t="s">
        <v>8</v>
      </c>
      <c r="C9" t="s">
        <v>362</v>
      </c>
      <c r="D9" t="s">
        <v>213</v>
      </c>
      <c r="E9" t="s">
        <v>610</v>
      </c>
      <c r="F9" s="6">
        <v>45759</v>
      </c>
      <c r="G9" s="6">
        <f t="shared" si="0"/>
        <v>45939</v>
      </c>
      <c r="I9" s="6">
        <f t="shared" si="1"/>
        <v>46119</v>
      </c>
      <c r="M9" s="6">
        <f t="shared" si="2"/>
        <v>45939</v>
      </c>
    </row>
    <row r="10" spans="1:15" x14ac:dyDescent="0.3">
      <c r="A10">
        <v>9</v>
      </c>
      <c r="B10" t="s">
        <v>20</v>
      </c>
      <c r="C10" t="s">
        <v>362</v>
      </c>
      <c r="D10" t="s">
        <v>225</v>
      </c>
      <c r="E10" t="s">
        <v>610</v>
      </c>
      <c r="F10" s="6">
        <v>45800</v>
      </c>
      <c r="G10" s="6">
        <f t="shared" si="0"/>
        <v>45980</v>
      </c>
      <c r="I10" s="6">
        <f t="shared" si="1"/>
        <v>46160</v>
      </c>
      <c r="M10" s="6">
        <f t="shared" si="2"/>
        <v>45980</v>
      </c>
    </row>
    <row r="11" spans="1:15" x14ac:dyDescent="0.3">
      <c r="A11">
        <v>10</v>
      </c>
      <c r="B11" t="s">
        <v>17</v>
      </c>
      <c r="C11" t="s">
        <v>362</v>
      </c>
      <c r="D11" t="s">
        <v>222</v>
      </c>
      <c r="E11" t="s">
        <v>610</v>
      </c>
      <c r="F11" s="6">
        <v>45798</v>
      </c>
      <c r="G11" s="6">
        <f t="shared" si="0"/>
        <v>45978</v>
      </c>
      <c r="I11" s="6">
        <f t="shared" si="1"/>
        <v>46158</v>
      </c>
      <c r="M11" s="6">
        <f t="shared" si="2"/>
        <v>45978</v>
      </c>
    </row>
    <row r="12" spans="1:15" x14ac:dyDescent="0.3">
      <c r="A12">
        <v>11</v>
      </c>
      <c r="B12" t="s">
        <v>21</v>
      </c>
      <c r="C12" t="s">
        <v>362</v>
      </c>
      <c r="D12" t="s">
        <v>226</v>
      </c>
      <c r="E12" t="s">
        <v>612</v>
      </c>
      <c r="F12" s="6">
        <v>45736</v>
      </c>
      <c r="G12" s="6">
        <f t="shared" si="0"/>
        <v>45916</v>
      </c>
      <c r="I12" s="6">
        <f t="shared" si="1"/>
        <v>46096</v>
      </c>
      <c r="M12" s="6">
        <f t="shared" si="2"/>
        <v>45916</v>
      </c>
    </row>
    <row r="13" spans="1:15" x14ac:dyDescent="0.3">
      <c r="A13">
        <v>12</v>
      </c>
      <c r="B13" t="s">
        <v>11</v>
      </c>
      <c r="C13" t="s">
        <v>362</v>
      </c>
      <c r="D13" t="s">
        <v>216</v>
      </c>
      <c r="E13" t="s">
        <v>613</v>
      </c>
      <c r="F13" s="6">
        <v>45776</v>
      </c>
      <c r="G13" s="6">
        <f t="shared" si="0"/>
        <v>45956</v>
      </c>
      <c r="I13" s="6">
        <f t="shared" si="1"/>
        <v>46136</v>
      </c>
      <c r="M13" s="6">
        <f t="shared" si="2"/>
        <v>45956</v>
      </c>
    </row>
    <row r="14" spans="1:15" x14ac:dyDescent="0.3">
      <c r="A14">
        <v>13</v>
      </c>
      <c r="B14" t="s">
        <v>19</v>
      </c>
      <c r="C14" t="s">
        <v>362</v>
      </c>
      <c r="D14" t="s">
        <v>224</v>
      </c>
      <c r="E14" t="s">
        <v>614</v>
      </c>
      <c r="F14" s="6">
        <v>45794</v>
      </c>
      <c r="G14" s="6">
        <f t="shared" si="0"/>
        <v>45974</v>
      </c>
      <c r="I14" s="6">
        <f t="shared" si="1"/>
        <v>46154</v>
      </c>
      <c r="M14" s="6">
        <f t="shared" si="2"/>
        <v>45974</v>
      </c>
    </row>
    <row r="15" spans="1:15" x14ac:dyDescent="0.3">
      <c r="A15">
        <v>14</v>
      </c>
      <c r="B15" t="s">
        <v>5</v>
      </c>
      <c r="C15" t="s">
        <v>362</v>
      </c>
      <c r="D15" t="s">
        <v>424</v>
      </c>
      <c r="E15" t="s">
        <v>608</v>
      </c>
      <c r="F15" s="6">
        <v>45540</v>
      </c>
      <c r="G15" s="6">
        <f t="shared" si="0"/>
        <v>45720</v>
      </c>
      <c r="I15" s="6">
        <f t="shared" si="1"/>
        <v>45900</v>
      </c>
      <c r="M15" s="6">
        <f t="shared" si="2"/>
        <v>45720</v>
      </c>
    </row>
    <row r="16" spans="1:15" x14ac:dyDescent="0.3">
      <c r="A16">
        <v>15</v>
      </c>
      <c r="B16" t="s">
        <v>24</v>
      </c>
      <c r="C16" t="s">
        <v>364</v>
      </c>
      <c r="D16" t="s">
        <v>229</v>
      </c>
      <c r="E16" t="s">
        <v>608</v>
      </c>
      <c r="F16" s="6">
        <v>45737</v>
      </c>
      <c r="G16" s="6">
        <f t="shared" si="0"/>
        <v>45917</v>
      </c>
      <c r="I16" s="6">
        <f t="shared" si="1"/>
        <v>46097</v>
      </c>
      <c r="M16" s="6">
        <f t="shared" si="2"/>
        <v>45917</v>
      </c>
    </row>
    <row r="17" spans="1:13" x14ac:dyDescent="0.3">
      <c r="A17">
        <v>16</v>
      </c>
      <c r="B17" t="s">
        <v>32</v>
      </c>
      <c r="C17" t="s">
        <v>364</v>
      </c>
      <c r="D17" t="s">
        <v>236</v>
      </c>
      <c r="E17" t="s">
        <v>610</v>
      </c>
      <c r="F17" s="6">
        <v>44979</v>
      </c>
      <c r="G17" s="6">
        <f t="shared" si="0"/>
        <v>45159</v>
      </c>
      <c r="I17" s="6">
        <f t="shared" si="1"/>
        <v>45339</v>
      </c>
      <c r="M17" s="6">
        <f t="shared" si="2"/>
        <v>45159</v>
      </c>
    </row>
    <row r="18" spans="1:13" x14ac:dyDescent="0.3">
      <c r="A18">
        <v>17</v>
      </c>
      <c r="B18" t="s">
        <v>33</v>
      </c>
      <c r="C18" t="s">
        <v>362</v>
      </c>
      <c r="D18" t="s">
        <v>237</v>
      </c>
      <c r="E18" t="s">
        <v>615</v>
      </c>
      <c r="F18" s="6">
        <v>45812</v>
      </c>
      <c r="G18" s="6">
        <f t="shared" si="0"/>
        <v>45992</v>
      </c>
      <c r="I18" s="6">
        <f t="shared" si="1"/>
        <v>46172</v>
      </c>
      <c r="M18" s="6">
        <f t="shared" si="2"/>
        <v>45992</v>
      </c>
    </row>
    <row r="19" spans="1:13" x14ac:dyDescent="0.3">
      <c r="A19">
        <v>18</v>
      </c>
      <c r="B19" t="s">
        <v>7</v>
      </c>
      <c r="C19" t="s">
        <v>363</v>
      </c>
      <c r="D19" t="s">
        <v>212</v>
      </c>
      <c r="E19" t="s">
        <v>616</v>
      </c>
      <c r="F19" s="6">
        <v>45122</v>
      </c>
      <c r="G19" s="6">
        <f t="shared" si="0"/>
        <v>45302</v>
      </c>
      <c r="I19" s="6">
        <f t="shared" si="1"/>
        <v>45482</v>
      </c>
      <c r="M19" s="6">
        <f t="shared" si="2"/>
        <v>45302</v>
      </c>
    </row>
    <row r="20" spans="1:13" x14ac:dyDescent="0.3">
      <c r="A20">
        <v>19</v>
      </c>
      <c r="B20" t="s">
        <v>10</v>
      </c>
      <c r="C20" t="s">
        <v>362</v>
      </c>
      <c r="D20" t="s">
        <v>215</v>
      </c>
      <c r="E20" t="s">
        <v>617</v>
      </c>
      <c r="F20" s="6">
        <v>45645</v>
      </c>
      <c r="G20" s="6">
        <f t="shared" si="0"/>
        <v>45825</v>
      </c>
      <c r="I20" s="6">
        <f t="shared" si="1"/>
        <v>46005</v>
      </c>
      <c r="M20" s="6">
        <f t="shared" si="2"/>
        <v>45825</v>
      </c>
    </row>
    <row r="21" spans="1:13" x14ac:dyDescent="0.3">
      <c r="A21">
        <v>20</v>
      </c>
      <c r="B21" t="s">
        <v>6</v>
      </c>
      <c r="C21" t="s">
        <v>362</v>
      </c>
      <c r="D21" t="s">
        <v>211</v>
      </c>
      <c r="E21" t="s">
        <v>618</v>
      </c>
      <c r="F21" s="6">
        <v>45496</v>
      </c>
      <c r="G21" s="6">
        <f t="shared" si="0"/>
        <v>45676</v>
      </c>
      <c r="I21" s="6">
        <f t="shared" si="1"/>
        <v>45856</v>
      </c>
      <c r="M21" s="6">
        <f t="shared" si="2"/>
        <v>45676</v>
      </c>
    </row>
    <row r="22" spans="1:13" x14ac:dyDescent="0.3">
      <c r="A22">
        <v>21</v>
      </c>
      <c r="B22" t="s">
        <v>41</v>
      </c>
      <c r="C22" t="s">
        <v>367</v>
      </c>
      <c r="D22" t="s">
        <v>244</v>
      </c>
      <c r="E22" t="s">
        <v>613</v>
      </c>
      <c r="F22" s="6">
        <v>45674</v>
      </c>
      <c r="G22" s="6">
        <f t="shared" si="0"/>
        <v>45854</v>
      </c>
      <c r="I22" s="6">
        <f t="shared" si="1"/>
        <v>46034</v>
      </c>
      <c r="M22" s="6">
        <f t="shared" si="2"/>
        <v>45854</v>
      </c>
    </row>
    <row r="23" spans="1:13" x14ac:dyDescent="0.3">
      <c r="A23">
        <v>22</v>
      </c>
      <c r="B23" t="s">
        <v>44</v>
      </c>
      <c r="C23" t="s">
        <v>367</v>
      </c>
      <c r="D23" t="s">
        <v>247</v>
      </c>
      <c r="E23" t="s">
        <v>610</v>
      </c>
      <c r="F23" s="6">
        <v>45717</v>
      </c>
      <c r="G23" s="6">
        <f t="shared" si="0"/>
        <v>45897</v>
      </c>
      <c r="I23" s="6">
        <f t="shared" si="1"/>
        <v>46077</v>
      </c>
      <c r="M23" s="6">
        <f t="shared" si="2"/>
        <v>45897</v>
      </c>
    </row>
    <row r="24" spans="1:13" x14ac:dyDescent="0.3">
      <c r="A24">
        <v>23</v>
      </c>
      <c r="B24" t="s">
        <v>5</v>
      </c>
      <c r="C24" t="s">
        <v>362</v>
      </c>
      <c r="D24" t="s">
        <v>210</v>
      </c>
      <c r="E24" t="s">
        <v>608</v>
      </c>
      <c r="F24" s="6">
        <v>45762</v>
      </c>
      <c r="G24" s="6">
        <f t="shared" si="0"/>
        <v>45942</v>
      </c>
      <c r="I24" s="6">
        <f t="shared" si="1"/>
        <v>46122</v>
      </c>
      <c r="M24" s="6">
        <f t="shared" si="2"/>
        <v>45942</v>
      </c>
    </row>
    <row r="25" spans="1:13" x14ac:dyDescent="0.3">
      <c r="A25">
        <v>24</v>
      </c>
      <c r="B25" t="s">
        <v>12</v>
      </c>
      <c r="C25" t="s">
        <v>363</v>
      </c>
      <c r="D25" t="s">
        <v>217</v>
      </c>
      <c r="E25" t="s">
        <v>610</v>
      </c>
      <c r="F25" s="6">
        <v>45302</v>
      </c>
      <c r="G25" s="6">
        <f t="shared" si="0"/>
        <v>45482</v>
      </c>
      <c r="I25" s="6">
        <f t="shared" si="1"/>
        <v>45662</v>
      </c>
      <c r="M25" s="6">
        <f t="shared" si="2"/>
        <v>45482</v>
      </c>
    </row>
    <row r="26" spans="1:13" x14ac:dyDescent="0.3">
      <c r="A26">
        <v>25</v>
      </c>
      <c r="B26" t="s">
        <v>36</v>
      </c>
      <c r="C26" t="s">
        <v>362</v>
      </c>
      <c r="D26" t="s">
        <v>240</v>
      </c>
      <c r="E26" t="s">
        <v>619</v>
      </c>
      <c r="F26" s="6">
        <v>45374</v>
      </c>
      <c r="G26" s="6">
        <f t="shared" si="0"/>
        <v>45554</v>
      </c>
      <c r="I26" s="6">
        <f t="shared" si="1"/>
        <v>45734</v>
      </c>
      <c r="M26" s="6">
        <f t="shared" si="2"/>
        <v>45554</v>
      </c>
    </row>
    <row r="27" spans="1:13" x14ac:dyDescent="0.3">
      <c r="A27">
        <v>26</v>
      </c>
      <c r="B27" t="s">
        <v>83</v>
      </c>
      <c r="C27" t="s">
        <v>361</v>
      </c>
      <c r="D27">
        <v>192</v>
      </c>
      <c r="E27" t="s">
        <v>614</v>
      </c>
      <c r="F27" s="6"/>
      <c r="G27" s="6">
        <f t="shared" si="0"/>
        <v>180</v>
      </c>
      <c r="I27" s="6">
        <f t="shared" si="1"/>
        <v>360</v>
      </c>
      <c r="M27" s="6">
        <f t="shared" si="2"/>
        <v>180</v>
      </c>
    </row>
    <row r="28" spans="1:13" x14ac:dyDescent="0.3">
      <c r="A28">
        <v>27</v>
      </c>
      <c r="B28" t="s">
        <v>57</v>
      </c>
      <c r="C28" t="s">
        <v>364</v>
      </c>
      <c r="D28" t="s">
        <v>259</v>
      </c>
      <c r="E28" t="s">
        <v>608</v>
      </c>
      <c r="F28" s="6">
        <v>45800</v>
      </c>
      <c r="G28" s="6">
        <f t="shared" si="0"/>
        <v>45980</v>
      </c>
      <c r="I28" s="6">
        <f t="shared" si="1"/>
        <v>46160</v>
      </c>
      <c r="M28" s="6">
        <f t="shared" si="2"/>
        <v>45980</v>
      </c>
    </row>
    <row r="29" spans="1:13" x14ac:dyDescent="0.3">
      <c r="A29">
        <v>28</v>
      </c>
      <c r="B29" t="s">
        <v>39</v>
      </c>
      <c r="C29" t="s">
        <v>362</v>
      </c>
      <c r="D29" t="s">
        <v>242</v>
      </c>
      <c r="E29" t="s">
        <v>614</v>
      </c>
      <c r="F29" s="6">
        <v>45832</v>
      </c>
      <c r="G29" s="6">
        <f t="shared" si="0"/>
        <v>46012</v>
      </c>
      <c r="I29" s="6">
        <f t="shared" si="1"/>
        <v>46192</v>
      </c>
      <c r="M29" s="6">
        <f t="shared" si="2"/>
        <v>46012</v>
      </c>
    </row>
    <row r="30" spans="1:13" x14ac:dyDescent="0.3">
      <c r="A30">
        <v>29</v>
      </c>
      <c r="B30" t="s">
        <v>49</v>
      </c>
      <c r="C30" t="s">
        <v>362</v>
      </c>
      <c r="D30" t="s">
        <v>252</v>
      </c>
      <c r="E30" t="s">
        <v>608</v>
      </c>
      <c r="F30" s="6"/>
      <c r="G30" s="6">
        <f t="shared" si="0"/>
        <v>180</v>
      </c>
      <c r="I30" s="6">
        <f t="shared" si="1"/>
        <v>360</v>
      </c>
      <c r="M30" s="6">
        <f t="shared" si="2"/>
        <v>180</v>
      </c>
    </row>
    <row r="31" spans="1:13" x14ac:dyDescent="0.3">
      <c r="A31">
        <v>30</v>
      </c>
      <c r="B31" t="s">
        <v>45</v>
      </c>
      <c r="C31" t="s">
        <v>367</v>
      </c>
      <c r="D31" t="s">
        <v>248</v>
      </c>
      <c r="E31" t="s">
        <v>620</v>
      </c>
      <c r="F31" s="6">
        <v>45708</v>
      </c>
      <c r="G31" s="6">
        <f t="shared" si="0"/>
        <v>45888</v>
      </c>
      <c r="I31" s="6">
        <f t="shared" si="1"/>
        <v>46068</v>
      </c>
      <c r="M31" s="6">
        <f t="shared" si="2"/>
        <v>45888</v>
      </c>
    </row>
    <row r="32" spans="1:13" x14ac:dyDescent="0.3">
      <c r="A32">
        <v>31</v>
      </c>
      <c r="B32" t="s">
        <v>18</v>
      </c>
      <c r="C32" t="s">
        <v>364</v>
      </c>
      <c r="D32" t="s">
        <v>223</v>
      </c>
      <c r="E32" t="s">
        <v>621</v>
      </c>
      <c r="F32" s="6"/>
      <c r="G32" s="6">
        <f t="shared" si="0"/>
        <v>180</v>
      </c>
      <c r="I32" s="6">
        <f t="shared" si="1"/>
        <v>360</v>
      </c>
      <c r="M32" s="6">
        <f t="shared" si="2"/>
        <v>180</v>
      </c>
    </row>
    <row r="33" spans="1:13" x14ac:dyDescent="0.3">
      <c r="A33">
        <v>32</v>
      </c>
      <c r="B33" t="s">
        <v>43</v>
      </c>
      <c r="C33" t="s">
        <v>368</v>
      </c>
      <c r="D33" t="s">
        <v>246</v>
      </c>
      <c r="E33" t="s">
        <v>608</v>
      </c>
      <c r="F33" s="6"/>
      <c r="G33" s="6">
        <f t="shared" si="0"/>
        <v>180</v>
      </c>
      <c r="I33" s="6">
        <f t="shared" si="1"/>
        <v>360</v>
      </c>
      <c r="M33" s="6">
        <f t="shared" si="2"/>
        <v>180</v>
      </c>
    </row>
    <row r="34" spans="1:13" x14ac:dyDescent="0.3">
      <c r="A34">
        <v>33</v>
      </c>
      <c r="B34" t="s">
        <v>80</v>
      </c>
      <c r="C34" t="s">
        <v>361</v>
      </c>
      <c r="D34">
        <v>191</v>
      </c>
      <c r="E34" t="s">
        <v>622</v>
      </c>
      <c r="F34" s="6">
        <v>45765</v>
      </c>
      <c r="G34" s="6">
        <f t="shared" si="0"/>
        <v>45945</v>
      </c>
      <c r="I34" s="6">
        <f t="shared" si="1"/>
        <v>46125</v>
      </c>
      <c r="M34" s="6">
        <f t="shared" si="2"/>
        <v>45945</v>
      </c>
    </row>
    <row r="35" spans="1:13" x14ac:dyDescent="0.3">
      <c r="A35">
        <v>34</v>
      </c>
      <c r="B35" t="s">
        <v>35</v>
      </c>
      <c r="C35" t="s">
        <v>362</v>
      </c>
      <c r="D35" t="s">
        <v>239</v>
      </c>
      <c r="E35" t="s">
        <v>623</v>
      </c>
      <c r="F35" s="6">
        <v>45229</v>
      </c>
      <c r="G35" s="6">
        <f t="shared" si="0"/>
        <v>45409</v>
      </c>
      <c r="I35" s="6">
        <f t="shared" si="1"/>
        <v>45589</v>
      </c>
      <c r="M35" s="6">
        <f t="shared" si="2"/>
        <v>45409</v>
      </c>
    </row>
    <row r="36" spans="1:13" x14ac:dyDescent="0.3">
      <c r="A36">
        <v>35</v>
      </c>
      <c r="B36" t="s">
        <v>30</v>
      </c>
      <c r="C36" t="s">
        <v>362</v>
      </c>
      <c r="D36" t="s">
        <v>235</v>
      </c>
      <c r="E36" t="s">
        <v>622</v>
      </c>
      <c r="F36" s="6">
        <v>45622</v>
      </c>
      <c r="G36" s="6">
        <f t="shared" si="0"/>
        <v>45802</v>
      </c>
      <c r="I36" s="6">
        <f t="shared" si="1"/>
        <v>45982</v>
      </c>
      <c r="M36" s="6">
        <f t="shared" si="2"/>
        <v>45802</v>
      </c>
    </row>
    <row r="37" spans="1:13" x14ac:dyDescent="0.3">
      <c r="A37">
        <v>36</v>
      </c>
      <c r="B37" t="s">
        <v>62</v>
      </c>
      <c r="C37" t="s">
        <v>361</v>
      </c>
      <c r="D37">
        <v>188</v>
      </c>
      <c r="E37" t="s">
        <v>624</v>
      </c>
      <c r="F37" s="6">
        <v>45651</v>
      </c>
      <c r="G37" s="6">
        <f t="shared" si="0"/>
        <v>45831</v>
      </c>
      <c r="I37" s="6">
        <f t="shared" si="1"/>
        <v>46011</v>
      </c>
      <c r="M37" s="6">
        <f t="shared" si="2"/>
        <v>45831</v>
      </c>
    </row>
    <row r="38" spans="1:13" x14ac:dyDescent="0.3">
      <c r="A38">
        <v>37</v>
      </c>
      <c r="B38" t="s">
        <v>54</v>
      </c>
      <c r="C38" t="s">
        <v>367</v>
      </c>
      <c r="D38" t="s">
        <v>257</v>
      </c>
      <c r="E38" t="s">
        <v>608</v>
      </c>
      <c r="F38" s="6">
        <v>45366</v>
      </c>
      <c r="G38" s="6">
        <f t="shared" si="0"/>
        <v>45546</v>
      </c>
      <c r="I38" s="6">
        <f t="shared" si="1"/>
        <v>45726</v>
      </c>
      <c r="M38" s="6">
        <f t="shared" si="2"/>
        <v>45546</v>
      </c>
    </row>
    <row r="39" spans="1:13" x14ac:dyDescent="0.3">
      <c r="A39">
        <v>38</v>
      </c>
      <c r="B39" t="s">
        <v>29</v>
      </c>
      <c r="C39" t="s">
        <v>363</v>
      </c>
      <c r="D39" t="s">
        <v>234</v>
      </c>
      <c r="E39" t="s">
        <v>625</v>
      </c>
      <c r="F39" s="6">
        <v>45883</v>
      </c>
      <c r="G39" s="6">
        <f t="shared" si="0"/>
        <v>46063</v>
      </c>
      <c r="I39" s="6">
        <f t="shared" si="1"/>
        <v>46243</v>
      </c>
      <c r="M39" s="6">
        <f t="shared" si="2"/>
        <v>46063</v>
      </c>
    </row>
    <row r="40" spans="1:13" x14ac:dyDescent="0.3">
      <c r="A40">
        <v>39</v>
      </c>
      <c r="B40" t="s">
        <v>60</v>
      </c>
      <c r="C40" t="s">
        <v>367</v>
      </c>
      <c r="D40" t="s">
        <v>262</v>
      </c>
      <c r="E40" t="s">
        <v>618</v>
      </c>
      <c r="F40" s="6">
        <v>45766</v>
      </c>
      <c r="G40" s="6">
        <f t="shared" si="0"/>
        <v>45946</v>
      </c>
      <c r="I40" s="6">
        <f t="shared" si="1"/>
        <v>46126</v>
      </c>
      <c r="M40" s="6">
        <f t="shared" si="2"/>
        <v>45946</v>
      </c>
    </row>
    <row r="41" spans="1:13" x14ac:dyDescent="0.3">
      <c r="A41">
        <v>40</v>
      </c>
      <c r="B41" t="s">
        <v>31</v>
      </c>
      <c r="C41" t="s">
        <v>365</v>
      </c>
      <c r="D41" t="s">
        <v>221</v>
      </c>
      <c r="E41" t="s">
        <v>626</v>
      </c>
      <c r="F41" s="6">
        <v>45499</v>
      </c>
      <c r="G41" s="6">
        <f t="shared" si="0"/>
        <v>45679</v>
      </c>
      <c r="I41" s="6">
        <f t="shared" si="1"/>
        <v>45859</v>
      </c>
      <c r="M41" s="6">
        <f t="shared" si="2"/>
        <v>45679</v>
      </c>
    </row>
    <row r="42" spans="1:13" x14ac:dyDescent="0.3">
      <c r="A42">
        <v>41</v>
      </c>
      <c r="B42" t="s">
        <v>37</v>
      </c>
      <c r="C42" t="s">
        <v>362</v>
      </c>
      <c r="D42" t="s">
        <v>241</v>
      </c>
      <c r="E42" t="s">
        <v>615</v>
      </c>
      <c r="F42" s="6">
        <v>45695</v>
      </c>
      <c r="G42" s="6">
        <f t="shared" si="0"/>
        <v>45875</v>
      </c>
      <c r="I42" s="6">
        <f t="shared" si="1"/>
        <v>46055</v>
      </c>
      <c r="M42" s="6">
        <f t="shared" si="2"/>
        <v>45875</v>
      </c>
    </row>
    <row r="43" spans="1:13" x14ac:dyDescent="0.3">
      <c r="A43">
        <v>42</v>
      </c>
      <c r="B43" t="s">
        <v>67</v>
      </c>
      <c r="C43" t="s">
        <v>367</v>
      </c>
      <c r="D43" t="s">
        <v>270</v>
      </c>
      <c r="E43" t="s">
        <v>610</v>
      </c>
      <c r="F43" s="6">
        <v>45709</v>
      </c>
      <c r="G43" s="6">
        <f t="shared" si="0"/>
        <v>45889</v>
      </c>
      <c r="I43" s="6">
        <f t="shared" si="1"/>
        <v>46069</v>
      </c>
      <c r="M43" s="6">
        <f t="shared" si="2"/>
        <v>45889</v>
      </c>
    </row>
    <row r="44" spans="1:13" x14ac:dyDescent="0.3">
      <c r="A44">
        <v>43</v>
      </c>
      <c r="B44" t="s">
        <v>25</v>
      </c>
      <c r="C44" t="s">
        <v>362</v>
      </c>
      <c r="D44" t="s">
        <v>230</v>
      </c>
      <c r="E44" t="s">
        <v>613</v>
      </c>
      <c r="F44" s="6">
        <v>45783</v>
      </c>
      <c r="G44" s="6">
        <f t="shared" si="0"/>
        <v>45963</v>
      </c>
      <c r="I44" s="6">
        <f t="shared" si="1"/>
        <v>46143</v>
      </c>
      <c r="M44" s="6">
        <f t="shared" si="2"/>
        <v>45963</v>
      </c>
    </row>
    <row r="45" spans="1:13" x14ac:dyDescent="0.3">
      <c r="A45">
        <v>44</v>
      </c>
      <c r="B45" t="s">
        <v>16</v>
      </c>
      <c r="C45" t="s">
        <v>365</v>
      </c>
      <c r="D45" t="s">
        <v>221</v>
      </c>
      <c r="E45" t="s">
        <v>608</v>
      </c>
      <c r="F45" s="6">
        <v>45499</v>
      </c>
      <c r="G45" s="6">
        <f t="shared" si="0"/>
        <v>45679</v>
      </c>
      <c r="I45" s="6">
        <f t="shared" si="1"/>
        <v>45859</v>
      </c>
      <c r="M45" s="6">
        <f t="shared" si="2"/>
        <v>45679</v>
      </c>
    </row>
    <row r="46" spans="1:13" x14ac:dyDescent="0.3">
      <c r="A46">
        <v>45</v>
      </c>
      <c r="B46" t="s">
        <v>59</v>
      </c>
      <c r="C46" t="s">
        <v>362</v>
      </c>
      <c r="D46" t="s">
        <v>261</v>
      </c>
      <c r="E46" t="s">
        <v>608</v>
      </c>
      <c r="F46" s="6">
        <v>45672</v>
      </c>
      <c r="G46" s="6">
        <f t="shared" si="0"/>
        <v>45852</v>
      </c>
      <c r="I46" s="6">
        <f t="shared" si="1"/>
        <v>46032</v>
      </c>
      <c r="M46" s="6">
        <f t="shared" si="2"/>
        <v>45852</v>
      </c>
    </row>
    <row r="47" spans="1:13" x14ac:dyDescent="0.3">
      <c r="A47">
        <v>46</v>
      </c>
      <c r="B47" t="s">
        <v>47</v>
      </c>
      <c r="C47" t="s">
        <v>362</v>
      </c>
      <c r="D47" t="s">
        <v>250</v>
      </c>
      <c r="E47" t="s">
        <v>610</v>
      </c>
      <c r="F47" s="6">
        <v>44992</v>
      </c>
      <c r="G47" s="6">
        <f t="shared" si="0"/>
        <v>45172</v>
      </c>
      <c r="I47" s="6">
        <f t="shared" si="1"/>
        <v>45352</v>
      </c>
      <c r="M47" s="6">
        <f t="shared" si="2"/>
        <v>45172</v>
      </c>
    </row>
    <row r="48" spans="1:13" x14ac:dyDescent="0.3">
      <c r="A48">
        <v>47</v>
      </c>
      <c r="B48" t="s">
        <v>53</v>
      </c>
      <c r="C48" t="s">
        <v>367</v>
      </c>
      <c r="D48" t="s">
        <v>256</v>
      </c>
      <c r="E48" t="s">
        <v>608</v>
      </c>
      <c r="F48" s="6">
        <v>45817</v>
      </c>
      <c r="G48" s="6">
        <f t="shared" si="0"/>
        <v>45997</v>
      </c>
      <c r="I48" s="6">
        <f t="shared" si="1"/>
        <v>46177</v>
      </c>
      <c r="M48" s="6">
        <f t="shared" si="2"/>
        <v>45997</v>
      </c>
    </row>
    <row r="49" spans="1:13" x14ac:dyDescent="0.3">
      <c r="A49">
        <v>48</v>
      </c>
      <c r="B49" t="s">
        <v>61</v>
      </c>
      <c r="C49" t="s">
        <v>369</v>
      </c>
      <c r="D49" t="s">
        <v>263</v>
      </c>
      <c r="E49" t="s">
        <v>617</v>
      </c>
      <c r="F49" s="6">
        <v>45956</v>
      </c>
      <c r="G49" s="6">
        <f t="shared" si="0"/>
        <v>46136</v>
      </c>
      <c r="I49" s="6">
        <f t="shared" si="1"/>
        <v>46316</v>
      </c>
      <c r="M49" s="6">
        <f t="shared" si="2"/>
        <v>46136</v>
      </c>
    </row>
    <row r="50" spans="1:13" x14ac:dyDescent="0.3">
      <c r="A50">
        <v>49</v>
      </c>
      <c r="B50" t="s">
        <v>13</v>
      </c>
      <c r="C50" t="s">
        <v>364</v>
      </c>
      <c r="D50" t="s">
        <v>218</v>
      </c>
      <c r="E50" t="s">
        <v>617</v>
      </c>
      <c r="F50" s="6">
        <v>45614</v>
      </c>
      <c r="G50" s="6">
        <f t="shared" si="0"/>
        <v>45794</v>
      </c>
      <c r="I50" s="6">
        <f t="shared" si="1"/>
        <v>45974</v>
      </c>
      <c r="M50" s="6">
        <f t="shared" si="2"/>
        <v>45794</v>
      </c>
    </row>
    <row r="51" spans="1:13" x14ac:dyDescent="0.3">
      <c r="A51">
        <v>50</v>
      </c>
      <c r="B51" t="s">
        <v>68</v>
      </c>
      <c r="C51" t="s">
        <v>368</v>
      </c>
      <c r="D51" t="s">
        <v>271</v>
      </c>
      <c r="E51" t="s">
        <v>608</v>
      </c>
      <c r="F51" s="6">
        <v>45590</v>
      </c>
      <c r="G51" s="6">
        <f t="shared" si="0"/>
        <v>45770</v>
      </c>
      <c r="I51" s="6">
        <f t="shared" si="1"/>
        <v>45950</v>
      </c>
      <c r="M51" s="6">
        <f t="shared" si="2"/>
        <v>45770</v>
      </c>
    </row>
    <row r="52" spans="1:13" x14ac:dyDescent="0.3">
      <c r="A52">
        <v>51</v>
      </c>
      <c r="B52" t="s">
        <v>65</v>
      </c>
      <c r="C52" t="s">
        <v>362</v>
      </c>
      <c r="D52" t="s">
        <v>268</v>
      </c>
      <c r="E52" t="s">
        <v>610</v>
      </c>
      <c r="F52" s="6"/>
      <c r="G52" s="6">
        <f t="shared" si="0"/>
        <v>180</v>
      </c>
      <c r="I52" s="6">
        <f t="shared" si="1"/>
        <v>360</v>
      </c>
      <c r="M52" s="6">
        <f t="shared" si="2"/>
        <v>180</v>
      </c>
    </row>
    <row r="53" spans="1:13" x14ac:dyDescent="0.3">
      <c r="A53">
        <v>52</v>
      </c>
      <c r="B53" t="s">
        <v>81</v>
      </c>
      <c r="C53" t="s">
        <v>371</v>
      </c>
      <c r="D53" t="s">
        <v>281</v>
      </c>
      <c r="E53" t="s">
        <v>627</v>
      </c>
      <c r="F53" s="6"/>
      <c r="G53" s="6">
        <f t="shared" si="0"/>
        <v>180</v>
      </c>
      <c r="I53" s="6">
        <f t="shared" si="1"/>
        <v>360</v>
      </c>
      <c r="M53" s="6">
        <f t="shared" si="2"/>
        <v>180</v>
      </c>
    </row>
    <row r="54" spans="1:13" x14ac:dyDescent="0.3">
      <c r="A54">
        <v>53</v>
      </c>
      <c r="B54" t="s">
        <v>72</v>
      </c>
      <c r="C54" t="s">
        <v>363</v>
      </c>
      <c r="D54" t="s">
        <v>274</v>
      </c>
      <c r="E54" t="s">
        <v>628</v>
      </c>
      <c r="F54" s="6"/>
      <c r="G54" s="6">
        <f t="shared" si="0"/>
        <v>180</v>
      </c>
      <c r="I54" s="6">
        <f t="shared" si="1"/>
        <v>360</v>
      </c>
      <c r="M54" s="6">
        <f t="shared" si="2"/>
        <v>180</v>
      </c>
    </row>
    <row r="55" spans="1:13" x14ac:dyDescent="0.3">
      <c r="A55">
        <v>54</v>
      </c>
      <c r="B55" t="s">
        <v>74</v>
      </c>
      <c r="C55" t="s">
        <v>370</v>
      </c>
      <c r="D55" t="s">
        <v>276</v>
      </c>
      <c r="E55" t="s">
        <v>610</v>
      </c>
      <c r="F55" s="6">
        <v>45518</v>
      </c>
      <c r="G55" s="6">
        <f t="shared" si="0"/>
        <v>45698</v>
      </c>
      <c r="I55" s="6">
        <f t="shared" si="1"/>
        <v>45878</v>
      </c>
      <c r="M55" s="6">
        <f t="shared" si="2"/>
        <v>45698</v>
      </c>
    </row>
    <row r="56" spans="1:13" x14ac:dyDescent="0.3">
      <c r="A56">
        <v>55</v>
      </c>
      <c r="B56" t="s">
        <v>58</v>
      </c>
      <c r="C56" t="s">
        <v>364</v>
      </c>
      <c r="D56" t="s">
        <v>260</v>
      </c>
      <c r="E56" t="s">
        <v>610</v>
      </c>
      <c r="F56" s="6"/>
      <c r="G56" s="6">
        <f t="shared" si="0"/>
        <v>180</v>
      </c>
      <c r="I56" s="6">
        <f t="shared" si="1"/>
        <v>360</v>
      </c>
      <c r="M56" s="6">
        <f t="shared" si="2"/>
        <v>180</v>
      </c>
    </row>
    <row r="57" spans="1:13" x14ac:dyDescent="0.3">
      <c r="A57">
        <v>56</v>
      </c>
      <c r="B57" t="s">
        <v>64</v>
      </c>
      <c r="C57" t="s">
        <v>362</v>
      </c>
      <c r="D57" t="s">
        <v>266</v>
      </c>
      <c r="E57" t="s">
        <v>611</v>
      </c>
      <c r="F57" s="6">
        <v>45777</v>
      </c>
      <c r="G57" s="6">
        <f t="shared" si="0"/>
        <v>45957</v>
      </c>
      <c r="I57" s="6">
        <f t="shared" si="1"/>
        <v>46137</v>
      </c>
      <c r="M57" s="6">
        <f t="shared" si="2"/>
        <v>45957</v>
      </c>
    </row>
    <row r="58" spans="1:13" x14ac:dyDescent="0.3">
      <c r="A58">
        <v>57</v>
      </c>
      <c r="B58" t="s">
        <v>27</v>
      </c>
      <c r="C58" t="s">
        <v>365</v>
      </c>
      <c r="D58" t="s">
        <v>232</v>
      </c>
      <c r="E58" t="s">
        <v>608</v>
      </c>
      <c r="F58" s="6">
        <v>45612</v>
      </c>
      <c r="G58" s="6">
        <f t="shared" si="0"/>
        <v>45792</v>
      </c>
      <c r="I58" s="6">
        <f t="shared" si="1"/>
        <v>45972</v>
      </c>
      <c r="M58" s="6">
        <f t="shared" si="2"/>
        <v>45792</v>
      </c>
    </row>
    <row r="59" spans="1:13" x14ac:dyDescent="0.3">
      <c r="A59">
        <v>58</v>
      </c>
      <c r="B59" t="s">
        <v>34</v>
      </c>
      <c r="C59" t="s">
        <v>364</v>
      </c>
      <c r="D59" t="s">
        <v>238</v>
      </c>
      <c r="E59" t="s">
        <v>629</v>
      </c>
      <c r="F59" s="6">
        <v>45992</v>
      </c>
      <c r="G59" s="6">
        <f t="shared" si="0"/>
        <v>46172</v>
      </c>
      <c r="I59" s="6">
        <f t="shared" si="1"/>
        <v>46352</v>
      </c>
      <c r="M59" s="6">
        <f t="shared" si="2"/>
        <v>46172</v>
      </c>
    </row>
    <row r="60" spans="1:13" x14ac:dyDescent="0.3">
      <c r="A60">
        <v>59</v>
      </c>
      <c r="B60" t="s">
        <v>71</v>
      </c>
      <c r="C60" t="s">
        <v>361</v>
      </c>
      <c r="D60">
        <v>190</v>
      </c>
      <c r="E60" t="s">
        <v>610</v>
      </c>
      <c r="F60" s="6">
        <v>45358</v>
      </c>
      <c r="G60" s="6">
        <f t="shared" si="0"/>
        <v>45538</v>
      </c>
      <c r="I60" s="6">
        <f t="shared" si="1"/>
        <v>45718</v>
      </c>
      <c r="M60" s="6">
        <f t="shared" si="2"/>
        <v>45538</v>
      </c>
    </row>
    <row r="61" spans="1:13" x14ac:dyDescent="0.3">
      <c r="A61">
        <v>60</v>
      </c>
      <c r="B61" t="s">
        <v>425</v>
      </c>
      <c r="C61" t="s">
        <v>361</v>
      </c>
      <c r="D61" t="s">
        <v>207</v>
      </c>
      <c r="E61" t="s">
        <v>608</v>
      </c>
      <c r="F61" s="6">
        <v>45614</v>
      </c>
      <c r="G61" s="6">
        <f t="shared" si="0"/>
        <v>45794</v>
      </c>
      <c r="I61" s="6">
        <f t="shared" si="1"/>
        <v>45974</v>
      </c>
      <c r="M61" s="6">
        <f t="shared" si="2"/>
        <v>45794</v>
      </c>
    </row>
    <row r="62" spans="1:13" x14ac:dyDescent="0.3">
      <c r="A62">
        <v>61</v>
      </c>
      <c r="B62" t="s">
        <v>82</v>
      </c>
      <c r="C62" t="s">
        <v>361</v>
      </c>
      <c r="D62" t="s">
        <v>282</v>
      </c>
      <c r="E62" t="s">
        <v>627</v>
      </c>
      <c r="F62" s="6">
        <v>45614</v>
      </c>
      <c r="G62" s="6">
        <f t="shared" si="0"/>
        <v>45794</v>
      </c>
      <c r="I62" s="6">
        <f t="shared" si="1"/>
        <v>45974</v>
      </c>
      <c r="M62" s="6">
        <f t="shared" si="2"/>
        <v>45794</v>
      </c>
    </row>
    <row r="63" spans="1:13" x14ac:dyDescent="0.3">
      <c r="A63">
        <v>62</v>
      </c>
      <c r="B63" t="s">
        <v>84</v>
      </c>
      <c r="C63" t="s">
        <v>368</v>
      </c>
      <c r="D63" t="s">
        <v>283</v>
      </c>
      <c r="E63" t="s">
        <v>611</v>
      </c>
      <c r="F63" s="6">
        <v>45309</v>
      </c>
      <c r="G63" s="6">
        <f t="shared" si="0"/>
        <v>45489</v>
      </c>
      <c r="I63" s="6">
        <f t="shared" si="1"/>
        <v>45669</v>
      </c>
      <c r="M63" s="6">
        <f t="shared" si="2"/>
        <v>45489</v>
      </c>
    </row>
    <row r="64" spans="1:13" x14ac:dyDescent="0.3">
      <c r="A64">
        <v>63</v>
      </c>
      <c r="B64" t="s">
        <v>38</v>
      </c>
      <c r="C64" t="s">
        <v>366</v>
      </c>
      <c r="D64">
        <v>189</v>
      </c>
      <c r="E64" t="s">
        <v>630</v>
      </c>
      <c r="F64" s="6">
        <v>45812</v>
      </c>
      <c r="G64" s="6">
        <f t="shared" si="0"/>
        <v>45992</v>
      </c>
      <c r="I64" s="6">
        <f t="shared" si="1"/>
        <v>46172</v>
      </c>
      <c r="M64" s="6">
        <f t="shared" si="2"/>
        <v>45992</v>
      </c>
    </row>
    <row r="65" spans="1:13" x14ac:dyDescent="0.3">
      <c r="A65">
        <v>64</v>
      </c>
      <c r="B65" t="s">
        <v>90</v>
      </c>
      <c r="C65" t="s">
        <v>368</v>
      </c>
      <c r="D65" t="s">
        <v>289</v>
      </c>
      <c r="E65" t="s">
        <v>608</v>
      </c>
      <c r="F65" s="6">
        <v>45541</v>
      </c>
      <c r="G65" s="6">
        <f t="shared" si="0"/>
        <v>45721</v>
      </c>
      <c r="I65" s="6">
        <f t="shared" si="1"/>
        <v>45901</v>
      </c>
      <c r="M65" s="6">
        <f t="shared" si="2"/>
        <v>45721</v>
      </c>
    </row>
    <row r="66" spans="1:13" x14ac:dyDescent="0.3">
      <c r="A66">
        <v>65</v>
      </c>
      <c r="B66" t="s">
        <v>28</v>
      </c>
      <c r="C66" t="s">
        <v>362</v>
      </c>
      <c r="D66" t="s">
        <v>233</v>
      </c>
      <c r="E66" t="s">
        <v>631</v>
      </c>
      <c r="F66" s="6">
        <v>45739</v>
      </c>
      <c r="G66" s="6">
        <f t="shared" ref="G66:G129" si="3">F66+$O$1</f>
        <v>45919</v>
      </c>
      <c r="I66" s="6">
        <f t="shared" si="1"/>
        <v>46099</v>
      </c>
      <c r="M66" s="6">
        <f t="shared" si="2"/>
        <v>45919</v>
      </c>
    </row>
    <row r="67" spans="1:13" x14ac:dyDescent="0.3">
      <c r="A67">
        <v>66</v>
      </c>
      <c r="B67" t="s">
        <v>70</v>
      </c>
      <c r="C67" t="s">
        <v>368</v>
      </c>
      <c r="D67" t="s">
        <v>273</v>
      </c>
      <c r="E67" t="s">
        <v>610</v>
      </c>
      <c r="F67" s="6"/>
      <c r="G67" s="6">
        <f t="shared" si="3"/>
        <v>180</v>
      </c>
      <c r="I67" s="6">
        <f t="shared" ref="I67:I130" si="4">G67+$O$1</f>
        <v>360</v>
      </c>
      <c r="M67" s="6">
        <f t="shared" ref="M67:M130" si="5">IF(H67="Done",IF(J67="Done",IF(L67="Done","-",K67),I67),G67)</f>
        <v>180</v>
      </c>
    </row>
    <row r="68" spans="1:13" x14ac:dyDescent="0.3">
      <c r="A68">
        <v>67</v>
      </c>
      <c r="B68" t="s">
        <v>88</v>
      </c>
      <c r="C68" t="s">
        <v>368</v>
      </c>
      <c r="D68" t="s">
        <v>287</v>
      </c>
      <c r="E68" t="s">
        <v>608</v>
      </c>
      <c r="F68" s="6"/>
      <c r="G68" s="6">
        <f t="shared" si="3"/>
        <v>180</v>
      </c>
      <c r="I68" s="6">
        <f t="shared" si="4"/>
        <v>360</v>
      </c>
      <c r="M68" s="6">
        <f t="shared" si="5"/>
        <v>180</v>
      </c>
    </row>
    <row r="69" spans="1:13" x14ac:dyDescent="0.3">
      <c r="A69">
        <v>68</v>
      </c>
      <c r="B69" t="s">
        <v>50</v>
      </c>
      <c r="C69" t="s">
        <v>367</v>
      </c>
      <c r="D69" t="s">
        <v>253</v>
      </c>
      <c r="E69" t="s">
        <v>632</v>
      </c>
      <c r="F69" s="6">
        <v>45809</v>
      </c>
      <c r="G69" s="6">
        <f t="shared" si="3"/>
        <v>45989</v>
      </c>
      <c r="I69" s="6">
        <f t="shared" si="4"/>
        <v>46169</v>
      </c>
      <c r="M69" s="6">
        <f t="shared" si="5"/>
        <v>45989</v>
      </c>
    </row>
    <row r="70" spans="1:13" x14ac:dyDescent="0.3">
      <c r="A70">
        <v>69</v>
      </c>
      <c r="B70" t="s">
        <v>91</v>
      </c>
      <c r="C70" t="s">
        <v>367</v>
      </c>
      <c r="D70" t="s">
        <v>290</v>
      </c>
      <c r="E70" t="s">
        <v>618</v>
      </c>
      <c r="F70" s="6"/>
      <c r="G70" s="6">
        <f t="shared" si="3"/>
        <v>180</v>
      </c>
      <c r="I70" s="6">
        <f t="shared" si="4"/>
        <v>360</v>
      </c>
      <c r="M70" s="6">
        <f t="shared" si="5"/>
        <v>180</v>
      </c>
    </row>
    <row r="71" spans="1:13" x14ac:dyDescent="0.3">
      <c r="A71">
        <v>70</v>
      </c>
      <c r="B71" t="s">
        <v>15</v>
      </c>
      <c r="C71" t="s">
        <v>362</v>
      </c>
      <c r="D71" t="s">
        <v>220</v>
      </c>
      <c r="E71" t="s">
        <v>633</v>
      </c>
      <c r="F71" s="6">
        <v>45449</v>
      </c>
      <c r="G71" s="6">
        <f t="shared" si="3"/>
        <v>45629</v>
      </c>
      <c r="I71" s="6">
        <f t="shared" si="4"/>
        <v>45809</v>
      </c>
      <c r="M71" s="6">
        <f t="shared" si="5"/>
        <v>45629</v>
      </c>
    </row>
    <row r="72" spans="1:13" x14ac:dyDescent="0.3">
      <c r="A72">
        <v>71</v>
      </c>
      <c r="B72" t="s">
        <v>62</v>
      </c>
      <c r="C72" t="s">
        <v>368</v>
      </c>
      <c r="D72" t="s">
        <v>264</v>
      </c>
      <c r="E72" t="s">
        <v>624</v>
      </c>
      <c r="F72" s="6">
        <v>45651</v>
      </c>
      <c r="G72" s="6">
        <f t="shared" si="3"/>
        <v>45831</v>
      </c>
      <c r="I72" s="6">
        <f t="shared" si="4"/>
        <v>46011</v>
      </c>
      <c r="M72" s="6">
        <f t="shared" si="5"/>
        <v>45831</v>
      </c>
    </row>
    <row r="73" spans="1:13" x14ac:dyDescent="0.3">
      <c r="A73">
        <v>72</v>
      </c>
      <c r="B73" t="s">
        <v>86</v>
      </c>
      <c r="C73" t="s">
        <v>368</v>
      </c>
      <c r="D73" t="s">
        <v>285</v>
      </c>
      <c r="E73" t="s">
        <v>619</v>
      </c>
      <c r="F73" s="6">
        <v>45623</v>
      </c>
      <c r="G73" s="6">
        <f t="shared" si="3"/>
        <v>45803</v>
      </c>
      <c r="I73" s="6">
        <f t="shared" si="4"/>
        <v>45983</v>
      </c>
      <c r="M73" s="6">
        <f t="shared" si="5"/>
        <v>45803</v>
      </c>
    </row>
    <row r="74" spans="1:13" x14ac:dyDescent="0.3">
      <c r="A74">
        <v>73</v>
      </c>
      <c r="B74" t="s">
        <v>95</v>
      </c>
      <c r="C74" t="s">
        <v>367</v>
      </c>
      <c r="D74" t="s">
        <v>295</v>
      </c>
      <c r="E74" t="s">
        <v>611</v>
      </c>
      <c r="F74" s="6"/>
      <c r="G74" s="6">
        <f t="shared" si="3"/>
        <v>180</v>
      </c>
      <c r="I74" s="6">
        <f t="shared" si="4"/>
        <v>360</v>
      </c>
      <c r="M74" s="6">
        <f t="shared" si="5"/>
        <v>180</v>
      </c>
    </row>
    <row r="75" spans="1:13" x14ac:dyDescent="0.3">
      <c r="A75">
        <v>74</v>
      </c>
      <c r="B75" t="s">
        <v>26</v>
      </c>
      <c r="C75" t="s">
        <v>362</v>
      </c>
      <c r="D75" t="s">
        <v>231</v>
      </c>
      <c r="E75" t="s">
        <v>611</v>
      </c>
      <c r="F75" s="6">
        <v>45472</v>
      </c>
      <c r="G75" s="6">
        <f t="shared" si="3"/>
        <v>45652</v>
      </c>
      <c r="I75" s="6">
        <f t="shared" si="4"/>
        <v>45832</v>
      </c>
      <c r="M75" s="6">
        <f t="shared" si="5"/>
        <v>45652</v>
      </c>
    </row>
    <row r="76" spans="1:13" x14ac:dyDescent="0.3">
      <c r="A76">
        <v>75</v>
      </c>
      <c r="B76" t="s">
        <v>76</v>
      </c>
      <c r="C76" t="s">
        <v>371</v>
      </c>
      <c r="D76" t="s">
        <v>278</v>
      </c>
      <c r="E76" t="s">
        <v>617</v>
      </c>
      <c r="F76" s="6">
        <v>45831</v>
      </c>
      <c r="G76" s="6">
        <f t="shared" si="3"/>
        <v>46011</v>
      </c>
      <c r="I76" s="6">
        <f t="shared" si="4"/>
        <v>46191</v>
      </c>
      <c r="M76" s="6">
        <f t="shared" si="5"/>
        <v>46011</v>
      </c>
    </row>
    <row r="77" spans="1:13" x14ac:dyDescent="0.3">
      <c r="A77">
        <v>76</v>
      </c>
      <c r="B77" t="s">
        <v>48</v>
      </c>
      <c r="C77" t="s">
        <v>365</v>
      </c>
      <c r="D77" t="s">
        <v>251</v>
      </c>
      <c r="E77" t="s">
        <v>614</v>
      </c>
      <c r="F77" s="6">
        <v>45963</v>
      </c>
      <c r="G77" s="6">
        <f t="shared" si="3"/>
        <v>46143</v>
      </c>
      <c r="I77" s="6">
        <f t="shared" si="4"/>
        <v>46323</v>
      </c>
      <c r="M77" s="6">
        <f t="shared" si="5"/>
        <v>46143</v>
      </c>
    </row>
    <row r="78" spans="1:13" x14ac:dyDescent="0.3">
      <c r="A78">
        <v>77</v>
      </c>
      <c r="B78" t="s">
        <v>69</v>
      </c>
      <c r="C78" t="s">
        <v>363</v>
      </c>
      <c r="D78" t="s">
        <v>272</v>
      </c>
      <c r="E78" t="s">
        <v>617</v>
      </c>
      <c r="F78" s="6">
        <v>45593</v>
      </c>
      <c r="G78" s="6">
        <f t="shared" si="3"/>
        <v>45773</v>
      </c>
      <c r="I78" s="6">
        <f t="shared" si="4"/>
        <v>45953</v>
      </c>
      <c r="M78" s="6">
        <f t="shared" si="5"/>
        <v>45773</v>
      </c>
    </row>
    <row r="79" spans="1:13" x14ac:dyDescent="0.3">
      <c r="A79">
        <v>78</v>
      </c>
      <c r="B79" t="s">
        <v>75</v>
      </c>
      <c r="C79" t="s">
        <v>367</v>
      </c>
      <c r="D79" t="s">
        <v>277</v>
      </c>
      <c r="E79" t="s">
        <v>608</v>
      </c>
      <c r="F79" s="6">
        <v>45625</v>
      </c>
      <c r="G79" s="6">
        <f t="shared" si="3"/>
        <v>45805</v>
      </c>
      <c r="I79" s="6">
        <f t="shared" si="4"/>
        <v>45985</v>
      </c>
      <c r="M79" s="6">
        <f t="shared" si="5"/>
        <v>45805</v>
      </c>
    </row>
    <row r="80" spans="1:13" x14ac:dyDescent="0.3">
      <c r="A80">
        <v>79</v>
      </c>
      <c r="B80" t="s">
        <v>85</v>
      </c>
      <c r="C80" t="s">
        <v>368</v>
      </c>
      <c r="D80" t="s">
        <v>284</v>
      </c>
      <c r="E80" t="s">
        <v>617</v>
      </c>
      <c r="F80" s="6"/>
      <c r="G80" s="6">
        <f t="shared" si="3"/>
        <v>180</v>
      </c>
      <c r="I80" s="6">
        <f t="shared" si="4"/>
        <v>360</v>
      </c>
      <c r="M80" s="6">
        <f t="shared" si="5"/>
        <v>180</v>
      </c>
    </row>
    <row r="81" spans="1:13" x14ac:dyDescent="0.3">
      <c r="A81">
        <v>80</v>
      </c>
      <c r="B81" t="s">
        <v>138</v>
      </c>
      <c r="C81" t="s">
        <v>372</v>
      </c>
      <c r="D81" t="s">
        <v>335</v>
      </c>
      <c r="E81" t="s">
        <v>610</v>
      </c>
      <c r="F81" s="6"/>
      <c r="G81" s="6">
        <f t="shared" si="3"/>
        <v>180</v>
      </c>
      <c r="I81" s="6">
        <f t="shared" si="4"/>
        <v>360</v>
      </c>
      <c r="M81" s="6">
        <f t="shared" si="5"/>
        <v>180</v>
      </c>
    </row>
    <row r="82" spans="1:13" x14ac:dyDescent="0.3">
      <c r="A82">
        <v>81</v>
      </c>
      <c r="B82" t="s">
        <v>99</v>
      </c>
      <c r="C82" t="s">
        <v>364</v>
      </c>
      <c r="D82" t="s">
        <v>299</v>
      </c>
      <c r="E82" t="s">
        <v>610</v>
      </c>
      <c r="F82" s="6"/>
      <c r="G82" s="6">
        <f t="shared" si="3"/>
        <v>180</v>
      </c>
      <c r="I82" s="6">
        <f t="shared" si="4"/>
        <v>360</v>
      </c>
      <c r="M82" s="6">
        <f t="shared" si="5"/>
        <v>180</v>
      </c>
    </row>
    <row r="83" spans="1:13" x14ac:dyDescent="0.3">
      <c r="A83">
        <v>82</v>
      </c>
      <c r="B83" t="s">
        <v>96</v>
      </c>
      <c r="C83" t="s">
        <v>367</v>
      </c>
      <c r="D83" t="s">
        <v>296</v>
      </c>
      <c r="E83" t="s">
        <v>613</v>
      </c>
      <c r="F83" s="6"/>
      <c r="G83" s="6">
        <f t="shared" si="3"/>
        <v>180</v>
      </c>
      <c r="I83" s="6">
        <f t="shared" si="4"/>
        <v>360</v>
      </c>
      <c r="M83" s="6">
        <f t="shared" si="5"/>
        <v>180</v>
      </c>
    </row>
    <row r="84" spans="1:13" x14ac:dyDescent="0.3">
      <c r="A84">
        <v>83</v>
      </c>
      <c r="B84" t="s">
        <v>426</v>
      </c>
      <c r="C84" t="s">
        <v>368</v>
      </c>
      <c r="D84" t="s">
        <v>294</v>
      </c>
      <c r="E84" t="s">
        <v>612</v>
      </c>
      <c r="F84" s="6"/>
      <c r="G84" s="6">
        <f t="shared" si="3"/>
        <v>180</v>
      </c>
      <c r="I84" s="6">
        <f t="shared" si="4"/>
        <v>360</v>
      </c>
      <c r="M84" s="6">
        <f t="shared" si="5"/>
        <v>180</v>
      </c>
    </row>
    <row r="85" spans="1:13" x14ac:dyDescent="0.3">
      <c r="A85">
        <v>84</v>
      </c>
      <c r="B85" t="s">
        <v>92</v>
      </c>
      <c r="C85" t="s">
        <v>370</v>
      </c>
      <c r="D85" t="s">
        <v>291</v>
      </c>
      <c r="E85" t="s">
        <v>611</v>
      </c>
      <c r="F85" s="6"/>
      <c r="G85" s="6">
        <f t="shared" si="3"/>
        <v>180</v>
      </c>
      <c r="I85" s="6">
        <f t="shared" si="4"/>
        <v>360</v>
      </c>
      <c r="M85" s="6">
        <f t="shared" si="5"/>
        <v>180</v>
      </c>
    </row>
    <row r="86" spans="1:13" x14ac:dyDescent="0.3">
      <c r="A86">
        <v>85</v>
      </c>
      <c r="B86" t="s">
        <v>93</v>
      </c>
      <c r="C86" t="s">
        <v>370</v>
      </c>
      <c r="D86" t="s">
        <v>292</v>
      </c>
      <c r="E86" t="s">
        <v>622</v>
      </c>
      <c r="F86" s="6"/>
      <c r="G86" s="6">
        <f t="shared" si="3"/>
        <v>180</v>
      </c>
      <c r="I86" s="6">
        <f t="shared" si="4"/>
        <v>360</v>
      </c>
      <c r="M86" s="6">
        <f t="shared" si="5"/>
        <v>180</v>
      </c>
    </row>
    <row r="87" spans="1:13" x14ac:dyDescent="0.3">
      <c r="A87">
        <v>86</v>
      </c>
      <c r="B87" t="s">
        <v>115</v>
      </c>
      <c r="C87" t="s">
        <v>380</v>
      </c>
      <c r="D87" t="s">
        <v>315</v>
      </c>
      <c r="E87" t="s">
        <v>610</v>
      </c>
      <c r="F87" s="6"/>
      <c r="G87" s="6">
        <f t="shared" si="3"/>
        <v>180</v>
      </c>
      <c r="I87" s="6">
        <f t="shared" si="4"/>
        <v>360</v>
      </c>
      <c r="M87" s="6">
        <f t="shared" si="5"/>
        <v>180</v>
      </c>
    </row>
    <row r="88" spans="1:13" x14ac:dyDescent="0.3">
      <c r="A88">
        <v>87</v>
      </c>
      <c r="B88" t="s">
        <v>101</v>
      </c>
      <c r="C88" t="s">
        <v>367</v>
      </c>
      <c r="D88" t="s">
        <v>301</v>
      </c>
      <c r="E88" t="s">
        <v>610</v>
      </c>
      <c r="F88" s="6"/>
      <c r="G88" s="6">
        <f t="shared" si="3"/>
        <v>180</v>
      </c>
      <c r="I88" s="6">
        <f t="shared" si="4"/>
        <v>360</v>
      </c>
      <c r="M88" s="6">
        <f t="shared" si="5"/>
        <v>180</v>
      </c>
    </row>
    <row r="89" spans="1:13" x14ac:dyDescent="0.3">
      <c r="A89">
        <v>88</v>
      </c>
      <c r="B89" t="s">
        <v>107</v>
      </c>
      <c r="C89" t="s">
        <v>377</v>
      </c>
      <c r="D89" t="s">
        <v>307</v>
      </c>
      <c r="E89" t="s">
        <v>634</v>
      </c>
      <c r="F89" s="6">
        <v>45731</v>
      </c>
      <c r="G89" s="6">
        <f t="shared" si="3"/>
        <v>45911</v>
      </c>
      <c r="I89" s="6">
        <f t="shared" si="4"/>
        <v>46091</v>
      </c>
      <c r="M89" s="6">
        <f t="shared" si="5"/>
        <v>45911</v>
      </c>
    </row>
    <row r="90" spans="1:13" x14ac:dyDescent="0.3">
      <c r="A90">
        <v>89</v>
      </c>
      <c r="B90" t="s">
        <v>105</v>
      </c>
      <c r="C90" t="s">
        <v>376</v>
      </c>
      <c r="D90" t="s">
        <v>305</v>
      </c>
      <c r="E90" t="s">
        <v>610</v>
      </c>
      <c r="F90" s="6"/>
      <c r="G90" s="6">
        <f t="shared" si="3"/>
        <v>180</v>
      </c>
      <c r="I90" s="6">
        <f t="shared" si="4"/>
        <v>360</v>
      </c>
      <c r="M90" s="6">
        <f t="shared" si="5"/>
        <v>180</v>
      </c>
    </row>
    <row r="91" spans="1:13" x14ac:dyDescent="0.3">
      <c r="A91">
        <v>90</v>
      </c>
      <c r="B91" t="s">
        <v>110</v>
      </c>
      <c r="C91" t="s">
        <v>367</v>
      </c>
      <c r="D91" t="s">
        <v>310</v>
      </c>
      <c r="E91" t="s">
        <v>635</v>
      </c>
      <c r="F91" s="6"/>
      <c r="G91" s="6">
        <f t="shared" si="3"/>
        <v>180</v>
      </c>
      <c r="I91" s="6">
        <f t="shared" si="4"/>
        <v>360</v>
      </c>
      <c r="M91" s="6">
        <f t="shared" si="5"/>
        <v>180</v>
      </c>
    </row>
    <row r="92" spans="1:13" x14ac:dyDescent="0.3">
      <c r="A92">
        <v>91</v>
      </c>
      <c r="B92" t="s">
        <v>111</v>
      </c>
      <c r="C92" t="s">
        <v>367</v>
      </c>
      <c r="D92" t="s">
        <v>311</v>
      </c>
      <c r="E92" t="s">
        <v>635</v>
      </c>
      <c r="F92" s="6"/>
      <c r="G92" s="6">
        <f t="shared" si="3"/>
        <v>180</v>
      </c>
      <c r="I92" s="6">
        <f t="shared" si="4"/>
        <v>360</v>
      </c>
      <c r="M92" s="6">
        <f t="shared" si="5"/>
        <v>180</v>
      </c>
    </row>
    <row r="93" spans="1:13" x14ac:dyDescent="0.3">
      <c r="A93">
        <v>92</v>
      </c>
      <c r="B93" t="s">
        <v>98</v>
      </c>
      <c r="C93" t="s">
        <v>372</v>
      </c>
      <c r="D93" t="s">
        <v>298</v>
      </c>
      <c r="E93" t="s">
        <v>617</v>
      </c>
      <c r="F93" s="6"/>
      <c r="G93" s="6">
        <f t="shared" si="3"/>
        <v>180</v>
      </c>
      <c r="I93" s="6">
        <f t="shared" si="4"/>
        <v>360</v>
      </c>
      <c r="M93" s="6">
        <f t="shared" si="5"/>
        <v>180</v>
      </c>
    </row>
    <row r="94" spans="1:13" x14ac:dyDescent="0.3">
      <c r="A94">
        <v>93</v>
      </c>
      <c r="B94" t="s">
        <v>40</v>
      </c>
      <c r="C94" t="s">
        <v>362</v>
      </c>
      <c r="D94" t="s">
        <v>243</v>
      </c>
      <c r="E94" t="s">
        <v>636</v>
      </c>
      <c r="F94" s="6">
        <v>45800</v>
      </c>
      <c r="G94" s="6">
        <f t="shared" si="3"/>
        <v>45980</v>
      </c>
      <c r="I94" s="6">
        <f t="shared" si="4"/>
        <v>46160</v>
      </c>
      <c r="M94" s="6">
        <f t="shared" si="5"/>
        <v>45980</v>
      </c>
    </row>
    <row r="95" spans="1:13" x14ac:dyDescent="0.3">
      <c r="A95">
        <v>94</v>
      </c>
      <c r="B95" t="s">
        <v>52</v>
      </c>
      <c r="C95" t="s">
        <v>367</v>
      </c>
      <c r="D95" t="s">
        <v>255</v>
      </c>
      <c r="E95" t="s">
        <v>611</v>
      </c>
      <c r="F95" s="6">
        <v>45741</v>
      </c>
      <c r="G95" s="6">
        <f t="shared" si="3"/>
        <v>45921</v>
      </c>
      <c r="I95" s="6">
        <f t="shared" si="4"/>
        <v>46101</v>
      </c>
      <c r="M95" s="6">
        <f t="shared" si="5"/>
        <v>45921</v>
      </c>
    </row>
    <row r="96" spans="1:13" x14ac:dyDescent="0.3">
      <c r="A96">
        <v>95</v>
      </c>
      <c r="B96" t="s">
        <v>146</v>
      </c>
      <c r="C96" t="s">
        <v>341</v>
      </c>
      <c r="D96" t="s">
        <v>341</v>
      </c>
      <c r="E96" t="s">
        <v>608</v>
      </c>
      <c r="F96" s="6"/>
      <c r="G96" s="6">
        <f t="shared" si="3"/>
        <v>180</v>
      </c>
      <c r="I96" s="6">
        <f t="shared" si="4"/>
        <v>360</v>
      </c>
      <c r="M96" s="6">
        <f t="shared" si="5"/>
        <v>180</v>
      </c>
    </row>
    <row r="97" spans="1:13" x14ac:dyDescent="0.3">
      <c r="A97">
        <v>96</v>
      </c>
      <c r="B97" t="s">
        <v>106</v>
      </c>
      <c r="C97" t="s">
        <v>376</v>
      </c>
      <c r="D97" t="s">
        <v>306</v>
      </c>
      <c r="E97" t="s">
        <v>637</v>
      </c>
      <c r="F97" s="6"/>
      <c r="G97" s="6">
        <f t="shared" si="3"/>
        <v>180</v>
      </c>
      <c r="I97" s="6">
        <f t="shared" si="4"/>
        <v>360</v>
      </c>
      <c r="M97" s="6">
        <f t="shared" si="5"/>
        <v>180</v>
      </c>
    </row>
    <row r="98" spans="1:13" x14ac:dyDescent="0.3">
      <c r="A98">
        <v>97</v>
      </c>
      <c r="B98" t="s">
        <v>116</v>
      </c>
      <c r="C98" t="s">
        <v>370</v>
      </c>
      <c r="D98" t="s">
        <v>316</v>
      </c>
      <c r="E98" t="s">
        <v>629</v>
      </c>
      <c r="F98" s="6"/>
      <c r="G98" s="6">
        <f t="shared" si="3"/>
        <v>180</v>
      </c>
      <c r="I98" s="6">
        <f t="shared" si="4"/>
        <v>360</v>
      </c>
      <c r="M98" s="6">
        <f t="shared" si="5"/>
        <v>180</v>
      </c>
    </row>
    <row r="99" spans="1:13" x14ac:dyDescent="0.3">
      <c r="A99">
        <v>98</v>
      </c>
      <c r="B99" t="s">
        <v>104</v>
      </c>
      <c r="C99" t="s">
        <v>375</v>
      </c>
      <c r="D99" t="s">
        <v>304</v>
      </c>
      <c r="E99" t="s">
        <v>623</v>
      </c>
      <c r="F99" s="6"/>
      <c r="G99" s="6">
        <f t="shared" si="3"/>
        <v>180</v>
      </c>
      <c r="I99" s="6">
        <f t="shared" si="4"/>
        <v>360</v>
      </c>
      <c r="M99" s="6">
        <f t="shared" si="5"/>
        <v>180</v>
      </c>
    </row>
    <row r="100" spans="1:13" x14ac:dyDescent="0.3">
      <c r="A100">
        <v>99</v>
      </c>
      <c r="B100" t="s">
        <v>56</v>
      </c>
      <c r="C100" t="s">
        <v>368</v>
      </c>
      <c r="D100" t="s">
        <v>258</v>
      </c>
      <c r="E100" t="s">
        <v>608</v>
      </c>
      <c r="F100" s="6">
        <v>45903</v>
      </c>
      <c r="G100" s="6">
        <f t="shared" si="3"/>
        <v>46083</v>
      </c>
      <c r="I100" s="6">
        <f t="shared" si="4"/>
        <v>46263</v>
      </c>
      <c r="M100" s="6">
        <f t="shared" si="5"/>
        <v>46083</v>
      </c>
    </row>
    <row r="101" spans="1:13" x14ac:dyDescent="0.3">
      <c r="A101">
        <v>100</v>
      </c>
      <c r="B101" t="s">
        <v>113</v>
      </c>
      <c r="C101" t="s">
        <v>367</v>
      </c>
      <c r="D101" t="s">
        <v>313</v>
      </c>
      <c r="E101" t="s">
        <v>617</v>
      </c>
      <c r="F101" s="6"/>
      <c r="G101" s="6">
        <f t="shared" si="3"/>
        <v>180</v>
      </c>
      <c r="I101" s="6">
        <f t="shared" si="4"/>
        <v>360</v>
      </c>
      <c r="M101" s="6">
        <f t="shared" si="5"/>
        <v>180</v>
      </c>
    </row>
    <row r="102" spans="1:13" x14ac:dyDescent="0.3">
      <c r="A102">
        <v>101</v>
      </c>
      <c r="B102" t="s">
        <v>119</v>
      </c>
      <c r="C102" t="s">
        <v>380</v>
      </c>
      <c r="D102" t="s">
        <v>318</v>
      </c>
      <c r="E102" t="s">
        <v>611</v>
      </c>
      <c r="F102" s="6"/>
      <c r="G102" s="6">
        <f t="shared" si="3"/>
        <v>180</v>
      </c>
      <c r="I102" s="6">
        <f t="shared" si="4"/>
        <v>360</v>
      </c>
      <c r="M102" s="6">
        <f t="shared" si="5"/>
        <v>180</v>
      </c>
    </row>
    <row r="103" spans="1:13" x14ac:dyDescent="0.3">
      <c r="A103">
        <v>102</v>
      </c>
      <c r="B103" t="s">
        <v>66</v>
      </c>
      <c r="C103" t="s">
        <v>367</v>
      </c>
      <c r="D103" t="s">
        <v>269</v>
      </c>
      <c r="E103" t="s">
        <v>610</v>
      </c>
      <c r="F103" s="6">
        <v>45579</v>
      </c>
      <c r="G103" s="6">
        <f t="shared" si="3"/>
        <v>45759</v>
      </c>
      <c r="I103" s="6">
        <f t="shared" si="4"/>
        <v>45939</v>
      </c>
      <c r="M103" s="6">
        <f t="shared" si="5"/>
        <v>45759</v>
      </c>
    </row>
    <row r="104" spans="1:13" x14ac:dyDescent="0.3">
      <c r="A104">
        <v>103</v>
      </c>
      <c r="B104" t="s">
        <v>121</v>
      </c>
      <c r="C104" t="s">
        <v>382</v>
      </c>
      <c r="D104" t="s">
        <v>320</v>
      </c>
      <c r="E104" t="s">
        <v>611</v>
      </c>
      <c r="F104" s="6"/>
      <c r="G104" s="6">
        <f t="shared" si="3"/>
        <v>180</v>
      </c>
      <c r="I104" s="6">
        <f t="shared" si="4"/>
        <v>360</v>
      </c>
      <c r="M104" s="6">
        <f t="shared" si="5"/>
        <v>180</v>
      </c>
    </row>
    <row r="105" spans="1:13" x14ac:dyDescent="0.3">
      <c r="A105">
        <v>104</v>
      </c>
      <c r="B105" t="s">
        <v>63</v>
      </c>
      <c r="C105" t="s">
        <v>368</v>
      </c>
      <c r="D105" t="s">
        <v>265</v>
      </c>
      <c r="E105" t="s">
        <v>622</v>
      </c>
      <c r="F105" s="6">
        <v>45645</v>
      </c>
      <c r="G105" s="6">
        <f t="shared" si="3"/>
        <v>45825</v>
      </c>
      <c r="I105" s="6">
        <f t="shared" si="4"/>
        <v>46005</v>
      </c>
      <c r="M105" s="6">
        <f t="shared" si="5"/>
        <v>45825</v>
      </c>
    </row>
    <row r="106" spans="1:13" x14ac:dyDescent="0.3">
      <c r="A106">
        <v>105</v>
      </c>
      <c r="B106" t="s">
        <v>100</v>
      </c>
      <c r="C106" t="s">
        <v>373</v>
      </c>
      <c r="D106" t="s">
        <v>300</v>
      </c>
      <c r="E106" t="s">
        <v>608</v>
      </c>
      <c r="F106" s="6"/>
      <c r="G106" s="6">
        <f t="shared" si="3"/>
        <v>180</v>
      </c>
      <c r="I106" s="6">
        <f t="shared" si="4"/>
        <v>360</v>
      </c>
      <c r="M106" s="6">
        <f t="shared" si="5"/>
        <v>180</v>
      </c>
    </row>
    <row r="107" spans="1:13" x14ac:dyDescent="0.3">
      <c r="A107">
        <v>106</v>
      </c>
      <c r="B107" t="s">
        <v>103</v>
      </c>
      <c r="C107" t="s">
        <v>373</v>
      </c>
      <c r="D107" t="s">
        <v>303</v>
      </c>
      <c r="E107" t="s">
        <v>616</v>
      </c>
      <c r="F107" s="6"/>
      <c r="G107" s="6">
        <f t="shared" si="3"/>
        <v>180</v>
      </c>
      <c r="I107" s="6">
        <f t="shared" si="4"/>
        <v>360</v>
      </c>
      <c r="M107" s="6">
        <f t="shared" si="5"/>
        <v>180</v>
      </c>
    </row>
    <row r="108" spans="1:13" x14ac:dyDescent="0.3">
      <c r="A108">
        <v>107</v>
      </c>
      <c r="B108" t="s">
        <v>130</v>
      </c>
      <c r="C108" t="s">
        <v>385</v>
      </c>
      <c r="D108" t="s">
        <v>207</v>
      </c>
      <c r="E108" t="s">
        <v>610</v>
      </c>
      <c r="F108" s="6"/>
      <c r="G108" s="6">
        <f t="shared" si="3"/>
        <v>180</v>
      </c>
      <c r="I108" s="6">
        <f t="shared" si="4"/>
        <v>360</v>
      </c>
      <c r="M108" s="6">
        <f t="shared" si="5"/>
        <v>180</v>
      </c>
    </row>
    <row r="109" spans="1:13" x14ac:dyDescent="0.3">
      <c r="A109">
        <v>108</v>
      </c>
      <c r="B109" t="s">
        <v>137</v>
      </c>
      <c r="C109" t="s">
        <v>364</v>
      </c>
      <c r="D109" t="s">
        <v>334</v>
      </c>
      <c r="E109" t="s">
        <v>616</v>
      </c>
      <c r="F109" s="6"/>
      <c r="G109" s="6">
        <f t="shared" si="3"/>
        <v>180</v>
      </c>
      <c r="I109" s="6">
        <f t="shared" si="4"/>
        <v>360</v>
      </c>
      <c r="M109" s="6">
        <f t="shared" si="5"/>
        <v>180</v>
      </c>
    </row>
    <row r="110" spans="1:13" x14ac:dyDescent="0.3">
      <c r="A110">
        <v>109</v>
      </c>
      <c r="B110" t="s">
        <v>139</v>
      </c>
      <c r="C110" t="s">
        <v>384</v>
      </c>
      <c r="D110" t="s">
        <v>336</v>
      </c>
      <c r="E110" t="s">
        <v>620</v>
      </c>
      <c r="F110" s="6"/>
      <c r="G110" s="6">
        <f t="shared" si="3"/>
        <v>180</v>
      </c>
      <c r="I110" s="6">
        <f t="shared" si="4"/>
        <v>360</v>
      </c>
      <c r="M110" s="6">
        <f t="shared" si="5"/>
        <v>180</v>
      </c>
    </row>
    <row r="111" spans="1:13" x14ac:dyDescent="0.3">
      <c r="A111">
        <v>110</v>
      </c>
      <c r="B111" t="s">
        <v>135</v>
      </c>
      <c r="C111" t="s">
        <v>364</v>
      </c>
      <c r="D111" t="s">
        <v>319</v>
      </c>
      <c r="E111" t="s">
        <v>615</v>
      </c>
      <c r="F111" s="6"/>
      <c r="G111" s="6">
        <f t="shared" si="3"/>
        <v>180</v>
      </c>
      <c r="I111" s="6">
        <f t="shared" si="4"/>
        <v>360</v>
      </c>
      <c r="M111" s="6">
        <f t="shared" si="5"/>
        <v>180</v>
      </c>
    </row>
    <row r="112" spans="1:13" x14ac:dyDescent="0.3">
      <c r="A112">
        <v>111</v>
      </c>
      <c r="B112" t="s">
        <v>152</v>
      </c>
      <c r="C112" t="s">
        <v>361</v>
      </c>
      <c r="D112" t="s">
        <v>207</v>
      </c>
      <c r="E112" t="s">
        <v>638</v>
      </c>
      <c r="F112" s="6"/>
      <c r="G112" s="6">
        <f t="shared" si="3"/>
        <v>180</v>
      </c>
      <c r="I112" s="6">
        <f t="shared" si="4"/>
        <v>360</v>
      </c>
      <c r="M112" s="6">
        <f t="shared" si="5"/>
        <v>180</v>
      </c>
    </row>
    <row r="113" spans="1:13" x14ac:dyDescent="0.3">
      <c r="A113">
        <v>112</v>
      </c>
      <c r="B113" t="s">
        <v>153</v>
      </c>
      <c r="C113" t="s">
        <v>361</v>
      </c>
      <c r="D113" t="s">
        <v>207</v>
      </c>
      <c r="E113" t="s">
        <v>608</v>
      </c>
      <c r="F113" s="6"/>
      <c r="G113" s="6">
        <f t="shared" si="3"/>
        <v>180</v>
      </c>
      <c r="I113" s="6">
        <f t="shared" si="4"/>
        <v>360</v>
      </c>
      <c r="M113" s="6">
        <f t="shared" si="5"/>
        <v>180</v>
      </c>
    </row>
    <row r="114" spans="1:13" x14ac:dyDescent="0.3">
      <c r="A114">
        <v>113</v>
      </c>
      <c r="B114" t="s">
        <v>114</v>
      </c>
      <c r="C114" t="s">
        <v>379</v>
      </c>
      <c r="D114" t="s">
        <v>314</v>
      </c>
      <c r="E114" t="s">
        <v>610</v>
      </c>
      <c r="F114" s="6"/>
      <c r="G114" s="6">
        <f t="shared" si="3"/>
        <v>180</v>
      </c>
      <c r="I114" s="6">
        <f t="shared" si="4"/>
        <v>360</v>
      </c>
      <c r="M114" s="6">
        <f t="shared" si="5"/>
        <v>180</v>
      </c>
    </row>
    <row r="115" spans="1:13" x14ac:dyDescent="0.3">
      <c r="A115">
        <v>114</v>
      </c>
      <c r="B115" t="s">
        <v>125</v>
      </c>
      <c r="C115" t="s">
        <v>384</v>
      </c>
      <c r="D115" t="s">
        <v>325</v>
      </c>
      <c r="E115" t="s">
        <v>619</v>
      </c>
      <c r="F115" s="6"/>
      <c r="G115" s="6">
        <f t="shared" si="3"/>
        <v>180</v>
      </c>
      <c r="I115" s="6">
        <f t="shared" si="4"/>
        <v>360</v>
      </c>
      <c r="M115" s="6">
        <f t="shared" si="5"/>
        <v>180</v>
      </c>
    </row>
    <row r="116" spans="1:13" x14ac:dyDescent="0.3">
      <c r="A116">
        <v>115</v>
      </c>
      <c r="B116" t="s">
        <v>128</v>
      </c>
      <c r="C116" t="s">
        <v>384</v>
      </c>
      <c r="D116" t="s">
        <v>328</v>
      </c>
      <c r="E116" t="s">
        <v>619</v>
      </c>
      <c r="F116" s="6"/>
      <c r="G116" s="6">
        <f t="shared" si="3"/>
        <v>180</v>
      </c>
      <c r="I116" s="6">
        <f t="shared" si="4"/>
        <v>360</v>
      </c>
      <c r="M116" s="6">
        <f t="shared" si="5"/>
        <v>180</v>
      </c>
    </row>
    <row r="117" spans="1:13" x14ac:dyDescent="0.3">
      <c r="A117">
        <v>116</v>
      </c>
      <c r="B117" t="s">
        <v>117</v>
      </c>
      <c r="C117" t="s">
        <v>370</v>
      </c>
      <c r="D117" t="s">
        <v>317</v>
      </c>
      <c r="E117" t="s">
        <v>619</v>
      </c>
      <c r="F117" s="6"/>
      <c r="G117" s="6">
        <f t="shared" si="3"/>
        <v>180</v>
      </c>
      <c r="I117" s="6">
        <f t="shared" si="4"/>
        <v>360</v>
      </c>
      <c r="M117" s="6">
        <f t="shared" si="5"/>
        <v>180</v>
      </c>
    </row>
    <row r="118" spans="1:13" x14ac:dyDescent="0.3">
      <c r="A118">
        <v>117</v>
      </c>
      <c r="B118" t="s">
        <v>134</v>
      </c>
      <c r="C118" t="s">
        <v>386</v>
      </c>
      <c r="D118" t="s">
        <v>332</v>
      </c>
      <c r="E118" t="s">
        <v>611</v>
      </c>
      <c r="F118" s="6"/>
      <c r="G118" s="6">
        <f t="shared" si="3"/>
        <v>180</v>
      </c>
      <c r="I118" s="6">
        <f t="shared" si="4"/>
        <v>360</v>
      </c>
      <c r="M118" s="6">
        <f t="shared" si="5"/>
        <v>180</v>
      </c>
    </row>
    <row r="119" spans="1:13" x14ac:dyDescent="0.3">
      <c r="A119">
        <v>118</v>
      </c>
      <c r="B119" t="s">
        <v>140</v>
      </c>
      <c r="C119" t="s">
        <v>384</v>
      </c>
      <c r="D119" t="s">
        <v>337</v>
      </c>
      <c r="E119" t="s">
        <v>639</v>
      </c>
      <c r="F119" s="6"/>
      <c r="G119" s="6">
        <f t="shared" si="3"/>
        <v>180</v>
      </c>
      <c r="I119" s="6">
        <f t="shared" si="4"/>
        <v>360</v>
      </c>
      <c r="M119" s="6">
        <f t="shared" si="5"/>
        <v>180</v>
      </c>
    </row>
    <row r="120" spans="1:13" x14ac:dyDescent="0.3">
      <c r="A120">
        <v>119</v>
      </c>
      <c r="B120" t="s">
        <v>127</v>
      </c>
      <c r="C120" t="s">
        <v>364</v>
      </c>
      <c r="D120" t="s">
        <v>327</v>
      </c>
      <c r="E120" t="s">
        <v>640</v>
      </c>
      <c r="F120" s="6"/>
      <c r="G120" s="6">
        <f t="shared" si="3"/>
        <v>180</v>
      </c>
      <c r="I120" s="6">
        <f t="shared" si="4"/>
        <v>360</v>
      </c>
      <c r="M120" s="6">
        <f t="shared" si="5"/>
        <v>180</v>
      </c>
    </row>
    <row r="121" spans="1:13" x14ac:dyDescent="0.3">
      <c r="A121">
        <v>120</v>
      </c>
      <c r="B121" t="s">
        <v>112</v>
      </c>
      <c r="C121" t="s">
        <v>378</v>
      </c>
      <c r="D121" t="s">
        <v>312</v>
      </c>
      <c r="E121" t="s">
        <v>620</v>
      </c>
      <c r="F121" s="6"/>
      <c r="G121" s="6">
        <f t="shared" si="3"/>
        <v>180</v>
      </c>
      <c r="I121" s="6">
        <f t="shared" si="4"/>
        <v>360</v>
      </c>
      <c r="M121" s="6">
        <f t="shared" si="5"/>
        <v>180</v>
      </c>
    </row>
    <row r="122" spans="1:13" x14ac:dyDescent="0.3">
      <c r="A122">
        <v>121</v>
      </c>
      <c r="B122" t="s">
        <v>89</v>
      </c>
      <c r="C122" t="s">
        <v>368</v>
      </c>
      <c r="D122" t="s">
        <v>288</v>
      </c>
      <c r="E122" t="s">
        <v>611</v>
      </c>
      <c r="F122" s="6">
        <v>45777</v>
      </c>
      <c r="G122" s="6">
        <f t="shared" si="3"/>
        <v>45957</v>
      </c>
      <c r="I122" s="6">
        <f t="shared" si="4"/>
        <v>46137</v>
      </c>
      <c r="M122" s="6">
        <f t="shared" si="5"/>
        <v>45957</v>
      </c>
    </row>
    <row r="123" spans="1:13" x14ac:dyDescent="0.3">
      <c r="A123">
        <v>122</v>
      </c>
      <c r="B123" t="s">
        <v>124</v>
      </c>
      <c r="C123" t="s">
        <v>383</v>
      </c>
      <c r="D123" t="s">
        <v>324</v>
      </c>
      <c r="E123" t="s">
        <v>615</v>
      </c>
      <c r="F123" s="6"/>
      <c r="G123" s="6">
        <f t="shared" si="3"/>
        <v>180</v>
      </c>
      <c r="I123" s="6">
        <f t="shared" si="4"/>
        <v>360</v>
      </c>
      <c r="M123" s="6">
        <f t="shared" si="5"/>
        <v>180</v>
      </c>
    </row>
    <row r="124" spans="1:13" x14ac:dyDescent="0.3">
      <c r="A124">
        <v>123</v>
      </c>
      <c r="B124" t="s">
        <v>148</v>
      </c>
      <c r="C124" t="s">
        <v>387</v>
      </c>
      <c r="D124">
        <v>230100</v>
      </c>
      <c r="E124" t="s">
        <v>608</v>
      </c>
      <c r="F124" s="6">
        <v>45674</v>
      </c>
      <c r="G124" s="6">
        <f t="shared" si="3"/>
        <v>45854</v>
      </c>
      <c r="I124" s="6">
        <f t="shared" si="4"/>
        <v>46034</v>
      </c>
      <c r="M124" s="6">
        <f t="shared" si="5"/>
        <v>45854</v>
      </c>
    </row>
    <row r="125" spans="1:13" x14ac:dyDescent="0.3">
      <c r="A125">
        <v>124</v>
      </c>
      <c r="B125" t="s">
        <v>109</v>
      </c>
      <c r="C125" t="s">
        <v>375</v>
      </c>
      <c r="D125" t="s">
        <v>309</v>
      </c>
      <c r="E125" t="s">
        <v>612</v>
      </c>
      <c r="F125" s="6">
        <v>45734</v>
      </c>
      <c r="G125" s="6">
        <f t="shared" si="3"/>
        <v>45914</v>
      </c>
      <c r="I125" s="6">
        <f t="shared" si="4"/>
        <v>46094</v>
      </c>
      <c r="M125" s="6">
        <f t="shared" si="5"/>
        <v>45914</v>
      </c>
    </row>
    <row r="126" spans="1:13" x14ac:dyDescent="0.3">
      <c r="A126">
        <v>125</v>
      </c>
      <c r="B126" t="s">
        <v>141</v>
      </c>
      <c r="C126" t="s">
        <v>384</v>
      </c>
      <c r="D126" t="s">
        <v>338</v>
      </c>
      <c r="E126" t="s">
        <v>632</v>
      </c>
      <c r="F126" s="6"/>
      <c r="G126" s="6">
        <f t="shared" si="3"/>
        <v>180</v>
      </c>
      <c r="I126" s="6">
        <f t="shared" si="4"/>
        <v>360</v>
      </c>
      <c r="M126" s="6">
        <f t="shared" si="5"/>
        <v>180</v>
      </c>
    </row>
    <row r="127" spans="1:13" x14ac:dyDescent="0.3">
      <c r="A127">
        <v>126</v>
      </c>
      <c r="B127" t="s">
        <v>145</v>
      </c>
      <c r="C127" t="s">
        <v>368</v>
      </c>
      <c r="D127" t="s">
        <v>340</v>
      </c>
      <c r="E127" t="s">
        <v>617</v>
      </c>
      <c r="F127" s="6"/>
      <c r="G127" s="6">
        <f t="shared" si="3"/>
        <v>180</v>
      </c>
      <c r="I127" s="6">
        <f t="shared" si="4"/>
        <v>360</v>
      </c>
      <c r="M127" s="6">
        <f t="shared" si="5"/>
        <v>180</v>
      </c>
    </row>
    <row r="128" spans="1:13" x14ac:dyDescent="0.3">
      <c r="A128">
        <v>127</v>
      </c>
      <c r="B128" t="s">
        <v>142</v>
      </c>
      <c r="C128" t="s">
        <v>364</v>
      </c>
      <c r="D128" t="s">
        <v>339</v>
      </c>
      <c r="E128" t="s">
        <v>617</v>
      </c>
      <c r="F128" s="6"/>
      <c r="G128" s="6">
        <f t="shared" si="3"/>
        <v>180</v>
      </c>
      <c r="I128" s="6">
        <f t="shared" si="4"/>
        <v>360</v>
      </c>
      <c r="M128" s="6">
        <f t="shared" si="5"/>
        <v>180</v>
      </c>
    </row>
    <row r="129" spans="1:13" x14ac:dyDescent="0.3">
      <c r="A129">
        <v>128</v>
      </c>
      <c r="B129" t="s">
        <v>77</v>
      </c>
      <c r="C129" t="s">
        <v>371</v>
      </c>
      <c r="D129" t="s">
        <v>279</v>
      </c>
      <c r="E129" t="s">
        <v>608</v>
      </c>
      <c r="F129" s="6">
        <v>45188</v>
      </c>
      <c r="G129" s="6">
        <f t="shared" si="3"/>
        <v>45368</v>
      </c>
      <c r="I129" s="6">
        <f t="shared" si="4"/>
        <v>45548</v>
      </c>
      <c r="M129" s="6">
        <f t="shared" si="5"/>
        <v>45368</v>
      </c>
    </row>
    <row r="130" spans="1:13" x14ac:dyDescent="0.3">
      <c r="A130">
        <v>129</v>
      </c>
      <c r="B130" t="s">
        <v>102</v>
      </c>
      <c r="C130" t="s">
        <v>374</v>
      </c>
      <c r="D130" t="s">
        <v>302</v>
      </c>
      <c r="E130" t="s">
        <v>608</v>
      </c>
      <c r="F130" s="6"/>
      <c r="G130" s="6">
        <f t="shared" ref="G130:G193" si="6">F130+$O$1</f>
        <v>180</v>
      </c>
      <c r="I130" s="6">
        <f t="shared" si="4"/>
        <v>360</v>
      </c>
      <c r="M130" s="6">
        <f t="shared" si="5"/>
        <v>180</v>
      </c>
    </row>
    <row r="131" spans="1:13" x14ac:dyDescent="0.3">
      <c r="A131">
        <v>130</v>
      </c>
      <c r="B131" t="s">
        <v>120</v>
      </c>
      <c r="C131" t="s">
        <v>371</v>
      </c>
      <c r="D131" t="s">
        <v>319</v>
      </c>
      <c r="E131" t="s">
        <v>617</v>
      </c>
      <c r="F131" s="6"/>
      <c r="G131" s="6">
        <f t="shared" si="6"/>
        <v>180</v>
      </c>
      <c r="I131" s="6">
        <f t="shared" ref="I131:I194" si="7">G131+$O$1</f>
        <v>360</v>
      </c>
      <c r="M131" s="6">
        <f t="shared" ref="M131:M194" si="8">IF(H131="Done",IF(J131="Done",IF(L131="Done","-",K131),I131),G131)</f>
        <v>180</v>
      </c>
    </row>
    <row r="132" spans="1:13" x14ac:dyDescent="0.3">
      <c r="A132">
        <v>131</v>
      </c>
      <c r="B132" t="s">
        <v>136</v>
      </c>
      <c r="C132" t="s">
        <v>365</v>
      </c>
      <c r="D132" t="s">
        <v>333</v>
      </c>
      <c r="E132" t="s">
        <v>611</v>
      </c>
      <c r="F132" s="6"/>
      <c r="G132" s="6">
        <f t="shared" si="6"/>
        <v>180</v>
      </c>
      <c r="I132" s="6">
        <f t="shared" si="7"/>
        <v>360</v>
      </c>
      <c r="M132" s="6">
        <f t="shared" si="8"/>
        <v>180</v>
      </c>
    </row>
    <row r="133" spans="1:13" x14ac:dyDescent="0.3">
      <c r="A133">
        <v>132</v>
      </c>
      <c r="B133" t="s">
        <v>87</v>
      </c>
      <c r="C133" t="s">
        <v>368</v>
      </c>
      <c r="D133" t="s">
        <v>286</v>
      </c>
      <c r="E133" t="s">
        <v>634</v>
      </c>
      <c r="F133" s="6">
        <v>45807</v>
      </c>
      <c r="G133" s="6">
        <f t="shared" si="6"/>
        <v>45987</v>
      </c>
      <c r="I133" s="6">
        <f t="shared" si="7"/>
        <v>46167</v>
      </c>
      <c r="M133" s="6">
        <f t="shared" si="8"/>
        <v>45987</v>
      </c>
    </row>
    <row r="134" spans="1:13" x14ac:dyDescent="0.3">
      <c r="A134">
        <v>133</v>
      </c>
      <c r="B134" t="s">
        <v>129</v>
      </c>
      <c r="C134" t="s">
        <v>364</v>
      </c>
      <c r="D134" t="s">
        <v>329</v>
      </c>
      <c r="E134" t="s">
        <v>622</v>
      </c>
      <c r="F134" s="6"/>
      <c r="G134" s="6">
        <f t="shared" si="6"/>
        <v>180</v>
      </c>
      <c r="I134" s="6">
        <f t="shared" si="7"/>
        <v>360</v>
      </c>
      <c r="M134" s="6">
        <f t="shared" si="8"/>
        <v>180</v>
      </c>
    </row>
    <row r="135" spans="1:13" x14ac:dyDescent="0.3">
      <c r="A135">
        <v>134</v>
      </c>
      <c r="B135" t="s">
        <v>150</v>
      </c>
      <c r="C135" t="s">
        <v>368</v>
      </c>
      <c r="D135">
        <v>230230</v>
      </c>
      <c r="E135" t="s">
        <v>635</v>
      </c>
      <c r="F135" s="6"/>
      <c r="G135" s="6">
        <f t="shared" si="6"/>
        <v>180</v>
      </c>
      <c r="I135" s="6">
        <f t="shared" si="7"/>
        <v>360</v>
      </c>
      <c r="M135" s="6">
        <f t="shared" si="8"/>
        <v>180</v>
      </c>
    </row>
    <row r="136" spans="1:13" x14ac:dyDescent="0.3">
      <c r="A136">
        <v>135</v>
      </c>
      <c r="B136" t="s">
        <v>94</v>
      </c>
      <c r="C136" t="s">
        <v>370</v>
      </c>
      <c r="D136" t="s">
        <v>293</v>
      </c>
      <c r="E136" t="s">
        <v>617</v>
      </c>
      <c r="F136" s="6"/>
      <c r="G136" s="6">
        <f t="shared" si="6"/>
        <v>180</v>
      </c>
      <c r="I136" s="6">
        <f t="shared" si="7"/>
        <v>360</v>
      </c>
      <c r="M136" s="6">
        <f t="shared" si="8"/>
        <v>180</v>
      </c>
    </row>
    <row r="137" spans="1:13" x14ac:dyDescent="0.3">
      <c r="A137">
        <v>136</v>
      </c>
      <c r="B137" t="s">
        <v>122</v>
      </c>
      <c r="C137" t="s">
        <v>371</v>
      </c>
      <c r="D137" t="s">
        <v>321</v>
      </c>
      <c r="E137" t="s">
        <v>610</v>
      </c>
      <c r="F137" s="6"/>
      <c r="G137" s="6">
        <f t="shared" si="6"/>
        <v>180</v>
      </c>
      <c r="I137" s="6">
        <f t="shared" si="7"/>
        <v>360</v>
      </c>
      <c r="M137" s="6">
        <f t="shared" si="8"/>
        <v>180</v>
      </c>
    </row>
    <row r="138" spans="1:13" x14ac:dyDescent="0.3">
      <c r="A138">
        <v>137</v>
      </c>
      <c r="B138" t="s">
        <v>123</v>
      </c>
      <c r="C138" t="s">
        <v>383</v>
      </c>
      <c r="D138" t="s">
        <v>323</v>
      </c>
      <c r="E138" t="s">
        <v>410</v>
      </c>
      <c r="F138" s="6"/>
      <c r="G138" s="6">
        <f t="shared" si="6"/>
        <v>180</v>
      </c>
      <c r="I138" s="6">
        <f t="shared" si="7"/>
        <v>360</v>
      </c>
      <c r="M138" s="6">
        <f t="shared" si="8"/>
        <v>180</v>
      </c>
    </row>
    <row r="139" spans="1:13" x14ac:dyDescent="0.3">
      <c r="A139">
        <v>138</v>
      </c>
      <c r="B139" t="s">
        <v>108</v>
      </c>
      <c r="C139" t="s">
        <v>375</v>
      </c>
      <c r="D139" t="s">
        <v>308</v>
      </c>
      <c r="E139" t="s">
        <v>641</v>
      </c>
      <c r="F139" s="6"/>
      <c r="G139" s="6">
        <f t="shared" si="6"/>
        <v>180</v>
      </c>
      <c r="I139" s="6">
        <f t="shared" si="7"/>
        <v>360</v>
      </c>
      <c r="M139" s="6">
        <f t="shared" si="8"/>
        <v>180</v>
      </c>
    </row>
    <row r="140" spans="1:13" x14ac:dyDescent="0.3">
      <c r="A140">
        <v>139</v>
      </c>
      <c r="B140" t="s">
        <v>154</v>
      </c>
      <c r="C140" t="s">
        <v>368</v>
      </c>
      <c r="D140" t="s">
        <v>342</v>
      </c>
      <c r="E140" t="s">
        <v>608</v>
      </c>
      <c r="F140" s="6"/>
      <c r="G140" s="6">
        <f t="shared" si="6"/>
        <v>180</v>
      </c>
      <c r="I140" s="6">
        <f t="shared" si="7"/>
        <v>360</v>
      </c>
      <c r="M140" s="6">
        <f t="shared" si="8"/>
        <v>180</v>
      </c>
    </row>
    <row r="141" spans="1:13" x14ac:dyDescent="0.3">
      <c r="A141">
        <v>140</v>
      </c>
      <c r="B141" t="s">
        <v>131</v>
      </c>
      <c r="C141" t="s">
        <v>364</v>
      </c>
      <c r="D141" t="s">
        <v>330</v>
      </c>
      <c r="E141" t="s">
        <v>625</v>
      </c>
      <c r="F141" s="6"/>
      <c r="G141" s="6">
        <f t="shared" si="6"/>
        <v>180</v>
      </c>
      <c r="I141" s="6">
        <f t="shared" si="7"/>
        <v>360</v>
      </c>
      <c r="M141" s="6">
        <f t="shared" si="8"/>
        <v>180</v>
      </c>
    </row>
    <row r="142" spans="1:13" x14ac:dyDescent="0.3">
      <c r="A142">
        <v>141</v>
      </c>
      <c r="B142" t="s">
        <v>143</v>
      </c>
      <c r="C142" t="s">
        <v>368</v>
      </c>
      <c r="D142">
        <v>230125</v>
      </c>
      <c r="E142" t="s">
        <v>642</v>
      </c>
      <c r="F142" s="6"/>
      <c r="G142" s="6">
        <f t="shared" si="6"/>
        <v>180</v>
      </c>
      <c r="I142" s="6">
        <f t="shared" si="7"/>
        <v>360</v>
      </c>
      <c r="M142" s="6">
        <f t="shared" si="8"/>
        <v>180</v>
      </c>
    </row>
    <row r="143" spans="1:13" x14ac:dyDescent="0.3">
      <c r="A143">
        <v>142</v>
      </c>
      <c r="B143" t="s">
        <v>97</v>
      </c>
      <c r="C143" t="s">
        <v>363</v>
      </c>
      <c r="D143" t="s">
        <v>297</v>
      </c>
      <c r="E143" t="s">
        <v>610</v>
      </c>
      <c r="F143" s="6"/>
      <c r="G143" s="6">
        <f t="shared" si="6"/>
        <v>180</v>
      </c>
      <c r="I143" s="6">
        <f t="shared" si="7"/>
        <v>360</v>
      </c>
      <c r="M143" s="6">
        <f t="shared" si="8"/>
        <v>180</v>
      </c>
    </row>
    <row r="144" spans="1:13" x14ac:dyDescent="0.3">
      <c r="A144">
        <v>143</v>
      </c>
      <c r="B144" t="s">
        <v>123</v>
      </c>
      <c r="C144" t="s">
        <v>383</v>
      </c>
      <c r="D144" t="s">
        <v>322</v>
      </c>
      <c r="E144" t="s">
        <v>410</v>
      </c>
      <c r="F144" s="6"/>
      <c r="G144" s="6">
        <f t="shared" si="6"/>
        <v>180</v>
      </c>
      <c r="I144" s="6">
        <f t="shared" si="7"/>
        <v>360</v>
      </c>
      <c r="M144" s="6">
        <f t="shared" si="8"/>
        <v>180</v>
      </c>
    </row>
    <row r="145" spans="1:13" x14ac:dyDescent="0.3">
      <c r="A145">
        <v>144</v>
      </c>
      <c r="B145" t="s">
        <v>166</v>
      </c>
      <c r="C145" t="s">
        <v>361</v>
      </c>
      <c r="D145" t="s">
        <v>207</v>
      </c>
      <c r="E145" t="s">
        <v>610</v>
      </c>
      <c r="F145" s="6"/>
      <c r="G145" s="6">
        <f t="shared" si="6"/>
        <v>180</v>
      </c>
      <c r="I145" s="6">
        <f t="shared" si="7"/>
        <v>360</v>
      </c>
      <c r="M145" s="6">
        <f t="shared" si="8"/>
        <v>180</v>
      </c>
    </row>
    <row r="146" spans="1:13" x14ac:dyDescent="0.3">
      <c r="A146">
        <v>145</v>
      </c>
      <c r="B146" t="s">
        <v>427</v>
      </c>
      <c r="C146" t="s">
        <v>368</v>
      </c>
      <c r="D146" t="s">
        <v>267</v>
      </c>
      <c r="E146" t="s">
        <v>635</v>
      </c>
      <c r="F146" s="6"/>
      <c r="G146" s="6">
        <f t="shared" si="6"/>
        <v>180</v>
      </c>
      <c r="I146" s="6">
        <f t="shared" si="7"/>
        <v>360</v>
      </c>
      <c r="M146" s="6">
        <f t="shared" si="8"/>
        <v>180</v>
      </c>
    </row>
    <row r="147" spans="1:13" x14ac:dyDescent="0.3">
      <c r="A147">
        <v>146</v>
      </c>
      <c r="B147" t="s">
        <v>172</v>
      </c>
      <c r="C147" t="s">
        <v>341</v>
      </c>
      <c r="D147" t="s">
        <v>345</v>
      </c>
      <c r="E147" t="s">
        <v>638</v>
      </c>
      <c r="F147" s="6"/>
      <c r="G147" s="6">
        <f t="shared" si="6"/>
        <v>180</v>
      </c>
      <c r="I147" s="6">
        <f t="shared" si="7"/>
        <v>360</v>
      </c>
      <c r="M147" s="6">
        <f t="shared" si="8"/>
        <v>180</v>
      </c>
    </row>
    <row r="148" spans="1:13" x14ac:dyDescent="0.3">
      <c r="A148">
        <v>147</v>
      </c>
      <c r="B148" t="s">
        <v>177</v>
      </c>
      <c r="C148" t="s">
        <v>341</v>
      </c>
      <c r="D148" t="s">
        <v>347</v>
      </c>
      <c r="E148" t="s">
        <v>643</v>
      </c>
      <c r="F148" s="6"/>
      <c r="G148" s="6">
        <f t="shared" si="6"/>
        <v>180</v>
      </c>
      <c r="I148" s="6">
        <f t="shared" si="7"/>
        <v>360</v>
      </c>
      <c r="M148" s="6">
        <f t="shared" si="8"/>
        <v>180</v>
      </c>
    </row>
    <row r="149" spans="1:13" x14ac:dyDescent="0.3">
      <c r="A149">
        <v>148</v>
      </c>
      <c r="B149" t="s">
        <v>160</v>
      </c>
      <c r="C149" t="s">
        <v>368</v>
      </c>
      <c r="D149" t="s">
        <v>343</v>
      </c>
      <c r="E149" t="s">
        <v>644</v>
      </c>
      <c r="F149" s="6"/>
      <c r="G149" s="6">
        <f t="shared" si="6"/>
        <v>180</v>
      </c>
      <c r="I149" s="6">
        <f t="shared" si="7"/>
        <v>360</v>
      </c>
      <c r="M149" s="6">
        <f t="shared" si="8"/>
        <v>180</v>
      </c>
    </row>
    <row r="150" spans="1:13" x14ac:dyDescent="0.3">
      <c r="A150">
        <v>149</v>
      </c>
      <c r="B150" t="s">
        <v>159</v>
      </c>
      <c r="C150" t="s">
        <v>361</v>
      </c>
      <c r="D150" t="s">
        <v>207</v>
      </c>
      <c r="E150" t="s">
        <v>622</v>
      </c>
      <c r="F150" s="6"/>
      <c r="G150" s="6">
        <f t="shared" si="6"/>
        <v>180</v>
      </c>
      <c r="I150" s="6">
        <f t="shared" si="7"/>
        <v>360</v>
      </c>
      <c r="M150" s="6">
        <f t="shared" si="8"/>
        <v>180</v>
      </c>
    </row>
    <row r="151" spans="1:13" x14ac:dyDescent="0.3">
      <c r="A151">
        <v>150</v>
      </c>
      <c r="B151" t="s">
        <v>179</v>
      </c>
      <c r="C151" t="s">
        <v>341</v>
      </c>
      <c r="D151" t="s">
        <v>345</v>
      </c>
      <c r="E151" t="s">
        <v>627</v>
      </c>
      <c r="F151" s="6"/>
      <c r="G151" s="6">
        <f t="shared" si="6"/>
        <v>180</v>
      </c>
      <c r="I151" s="6">
        <f t="shared" si="7"/>
        <v>360</v>
      </c>
      <c r="M151" s="6">
        <f t="shared" si="8"/>
        <v>180</v>
      </c>
    </row>
    <row r="152" spans="1:13" x14ac:dyDescent="0.3">
      <c r="A152">
        <v>151</v>
      </c>
      <c r="B152" t="s">
        <v>162</v>
      </c>
      <c r="C152" t="s">
        <v>361</v>
      </c>
      <c r="D152" t="s">
        <v>207</v>
      </c>
      <c r="E152" t="s">
        <v>610</v>
      </c>
      <c r="F152" s="6"/>
      <c r="G152" s="6">
        <f t="shared" si="6"/>
        <v>180</v>
      </c>
      <c r="I152" s="6">
        <f t="shared" si="7"/>
        <v>360</v>
      </c>
      <c r="M152" s="6">
        <f t="shared" si="8"/>
        <v>180</v>
      </c>
    </row>
    <row r="153" spans="1:13" x14ac:dyDescent="0.3">
      <c r="A153">
        <v>152</v>
      </c>
      <c r="B153" t="s">
        <v>147</v>
      </c>
      <c r="C153" t="s">
        <v>368</v>
      </c>
      <c r="D153">
        <v>230409</v>
      </c>
      <c r="E153" t="s">
        <v>645</v>
      </c>
      <c r="F153" s="6"/>
      <c r="G153" s="6">
        <f t="shared" si="6"/>
        <v>180</v>
      </c>
      <c r="I153" s="6">
        <f t="shared" si="7"/>
        <v>360</v>
      </c>
      <c r="M153" s="6">
        <f t="shared" si="8"/>
        <v>180</v>
      </c>
    </row>
    <row r="154" spans="1:13" x14ac:dyDescent="0.3">
      <c r="A154">
        <v>153</v>
      </c>
      <c r="B154" t="s">
        <v>51</v>
      </c>
      <c r="C154" t="s">
        <v>364</v>
      </c>
      <c r="D154" t="s">
        <v>254</v>
      </c>
      <c r="E154" t="s">
        <v>608</v>
      </c>
      <c r="F154" s="6">
        <v>45820</v>
      </c>
      <c r="G154" s="6">
        <f t="shared" si="6"/>
        <v>46000</v>
      </c>
      <c r="I154" s="6">
        <f t="shared" si="7"/>
        <v>46180</v>
      </c>
      <c r="M154" s="6">
        <f t="shared" si="8"/>
        <v>46000</v>
      </c>
    </row>
    <row r="155" spans="1:13" x14ac:dyDescent="0.3">
      <c r="A155">
        <v>154</v>
      </c>
      <c r="B155" t="s">
        <v>151</v>
      </c>
      <c r="C155" t="s">
        <v>368</v>
      </c>
      <c r="D155">
        <v>230303</v>
      </c>
      <c r="E155" t="s">
        <v>610</v>
      </c>
      <c r="F155" s="6"/>
      <c r="G155" s="6">
        <f t="shared" si="6"/>
        <v>180</v>
      </c>
      <c r="I155" s="6">
        <f t="shared" si="7"/>
        <v>360</v>
      </c>
      <c r="M155" s="6">
        <f t="shared" si="8"/>
        <v>180</v>
      </c>
    </row>
    <row r="156" spans="1:13" x14ac:dyDescent="0.3">
      <c r="A156">
        <v>155</v>
      </c>
      <c r="B156" t="s">
        <v>42</v>
      </c>
      <c r="C156" t="s">
        <v>363</v>
      </c>
      <c r="D156" t="s">
        <v>245</v>
      </c>
      <c r="E156" t="s">
        <v>610</v>
      </c>
      <c r="F156" s="6"/>
      <c r="G156" s="6">
        <f t="shared" si="6"/>
        <v>180</v>
      </c>
      <c r="I156" s="6">
        <f t="shared" si="7"/>
        <v>360</v>
      </c>
      <c r="M156" s="6">
        <f t="shared" si="8"/>
        <v>180</v>
      </c>
    </row>
    <row r="157" spans="1:13" x14ac:dyDescent="0.3">
      <c r="A157">
        <v>156</v>
      </c>
      <c r="B157" t="s">
        <v>155</v>
      </c>
      <c r="C157" t="s">
        <v>368</v>
      </c>
      <c r="D157">
        <v>230342</v>
      </c>
      <c r="E157" t="s">
        <v>617</v>
      </c>
      <c r="F157" s="6"/>
      <c r="G157" s="6">
        <f t="shared" si="6"/>
        <v>180</v>
      </c>
      <c r="I157" s="6">
        <f t="shared" si="7"/>
        <v>360</v>
      </c>
      <c r="M157" s="6">
        <f t="shared" si="8"/>
        <v>180</v>
      </c>
    </row>
    <row r="158" spans="1:13" x14ac:dyDescent="0.3">
      <c r="A158">
        <v>157</v>
      </c>
      <c r="B158" t="s">
        <v>161</v>
      </c>
      <c r="C158" t="s">
        <v>364</v>
      </c>
      <c r="D158">
        <v>230483</v>
      </c>
      <c r="E158" t="s">
        <v>628</v>
      </c>
      <c r="F158" s="6"/>
      <c r="G158" s="6">
        <f t="shared" si="6"/>
        <v>180</v>
      </c>
      <c r="I158" s="6">
        <f t="shared" si="7"/>
        <v>360</v>
      </c>
      <c r="M158" s="6">
        <f t="shared" si="8"/>
        <v>180</v>
      </c>
    </row>
    <row r="159" spans="1:13" x14ac:dyDescent="0.3">
      <c r="A159">
        <v>158</v>
      </c>
      <c r="B159" t="s">
        <v>161</v>
      </c>
      <c r="C159" t="s">
        <v>363</v>
      </c>
      <c r="D159">
        <v>230484</v>
      </c>
      <c r="E159" t="s">
        <v>628</v>
      </c>
      <c r="F159" s="6"/>
      <c r="G159" s="6">
        <f t="shared" si="6"/>
        <v>180</v>
      </c>
      <c r="I159" s="6">
        <f t="shared" si="7"/>
        <v>360</v>
      </c>
      <c r="M159" s="6">
        <f t="shared" si="8"/>
        <v>180</v>
      </c>
    </row>
    <row r="160" spans="1:13" x14ac:dyDescent="0.3">
      <c r="A160">
        <v>159</v>
      </c>
      <c r="B160" t="s">
        <v>79</v>
      </c>
      <c r="C160" t="s">
        <v>368</v>
      </c>
      <c r="D160">
        <v>230052</v>
      </c>
      <c r="E160" t="s">
        <v>608</v>
      </c>
      <c r="F160" s="6">
        <v>45738</v>
      </c>
      <c r="G160" s="6">
        <f t="shared" si="6"/>
        <v>45918</v>
      </c>
      <c r="I160" s="6">
        <f t="shared" si="7"/>
        <v>46098</v>
      </c>
      <c r="M160" s="6">
        <f t="shared" si="8"/>
        <v>45918</v>
      </c>
    </row>
    <row r="161" spans="1:13" x14ac:dyDescent="0.3">
      <c r="A161">
        <v>160</v>
      </c>
      <c r="B161" t="s">
        <v>126</v>
      </c>
      <c r="C161" t="s">
        <v>368</v>
      </c>
      <c r="D161" t="s">
        <v>326</v>
      </c>
      <c r="E161" t="s">
        <v>646</v>
      </c>
      <c r="F161" s="6"/>
      <c r="G161" s="6">
        <f t="shared" si="6"/>
        <v>180</v>
      </c>
      <c r="I161" s="6">
        <f t="shared" si="7"/>
        <v>360</v>
      </c>
      <c r="M161" s="6">
        <f t="shared" si="8"/>
        <v>180</v>
      </c>
    </row>
    <row r="162" spans="1:13" x14ac:dyDescent="0.3">
      <c r="A162">
        <v>161</v>
      </c>
      <c r="B162" t="s">
        <v>180</v>
      </c>
      <c r="C162" t="s">
        <v>341</v>
      </c>
      <c r="D162" t="s">
        <v>348</v>
      </c>
      <c r="E162" t="s">
        <v>620</v>
      </c>
      <c r="F162" s="6"/>
      <c r="G162" s="6">
        <f t="shared" si="6"/>
        <v>180</v>
      </c>
      <c r="I162" s="6">
        <f t="shared" si="7"/>
        <v>360</v>
      </c>
      <c r="M162" s="6">
        <f t="shared" si="8"/>
        <v>180</v>
      </c>
    </row>
    <row r="163" spans="1:13" x14ac:dyDescent="0.3">
      <c r="A163">
        <v>162</v>
      </c>
      <c r="B163" t="s">
        <v>78</v>
      </c>
      <c r="C163" t="s">
        <v>367</v>
      </c>
      <c r="D163" t="s">
        <v>280</v>
      </c>
      <c r="E163" t="s">
        <v>615</v>
      </c>
      <c r="F163" s="6"/>
      <c r="G163" s="6">
        <f t="shared" si="6"/>
        <v>180</v>
      </c>
      <c r="I163" s="6">
        <f t="shared" si="7"/>
        <v>360</v>
      </c>
      <c r="M163" s="6">
        <f t="shared" si="8"/>
        <v>180</v>
      </c>
    </row>
    <row r="164" spans="1:13" x14ac:dyDescent="0.3">
      <c r="A164">
        <v>163</v>
      </c>
      <c r="B164" t="s">
        <v>156</v>
      </c>
      <c r="C164" t="s">
        <v>368</v>
      </c>
      <c r="D164">
        <v>230340</v>
      </c>
      <c r="E164" t="s">
        <v>623</v>
      </c>
      <c r="F164" s="6"/>
      <c r="G164" s="6">
        <f t="shared" si="6"/>
        <v>180</v>
      </c>
      <c r="I164" s="6">
        <f t="shared" si="7"/>
        <v>360</v>
      </c>
      <c r="M164" s="6">
        <f t="shared" si="8"/>
        <v>180</v>
      </c>
    </row>
    <row r="165" spans="1:13" x14ac:dyDescent="0.3">
      <c r="A165">
        <v>164</v>
      </c>
      <c r="B165" t="s">
        <v>157</v>
      </c>
      <c r="C165" t="s">
        <v>368</v>
      </c>
      <c r="D165">
        <v>230339</v>
      </c>
      <c r="E165" t="s">
        <v>623</v>
      </c>
      <c r="F165" s="6"/>
      <c r="G165" s="6">
        <f t="shared" si="6"/>
        <v>180</v>
      </c>
      <c r="I165" s="6">
        <f t="shared" si="7"/>
        <v>360</v>
      </c>
      <c r="M165" s="6">
        <f t="shared" si="8"/>
        <v>180</v>
      </c>
    </row>
    <row r="166" spans="1:13" x14ac:dyDescent="0.3">
      <c r="A166">
        <v>165</v>
      </c>
      <c r="B166" t="s">
        <v>163</v>
      </c>
      <c r="C166" t="s">
        <v>368</v>
      </c>
      <c r="D166" t="s">
        <v>344</v>
      </c>
      <c r="E166" t="s">
        <v>610</v>
      </c>
      <c r="F166" s="6"/>
      <c r="G166" s="6">
        <f t="shared" si="6"/>
        <v>180</v>
      </c>
      <c r="I166" s="6">
        <f t="shared" si="7"/>
        <v>360</v>
      </c>
      <c r="M166" s="6">
        <f t="shared" si="8"/>
        <v>180</v>
      </c>
    </row>
    <row r="167" spans="1:13" x14ac:dyDescent="0.3">
      <c r="A167">
        <v>166</v>
      </c>
      <c r="B167" t="s">
        <v>187</v>
      </c>
      <c r="C167" t="s">
        <v>341</v>
      </c>
      <c r="D167" t="s">
        <v>341</v>
      </c>
      <c r="E167" t="s">
        <v>608</v>
      </c>
      <c r="F167" s="6"/>
      <c r="G167" s="6">
        <f t="shared" si="6"/>
        <v>180</v>
      </c>
      <c r="I167" s="6">
        <f t="shared" si="7"/>
        <v>360</v>
      </c>
      <c r="M167" s="6">
        <f t="shared" si="8"/>
        <v>180</v>
      </c>
    </row>
    <row r="168" spans="1:13" x14ac:dyDescent="0.3">
      <c r="A168">
        <v>167</v>
      </c>
      <c r="B168" t="s">
        <v>167</v>
      </c>
      <c r="C168" t="s">
        <v>365</v>
      </c>
      <c r="D168">
        <v>230557</v>
      </c>
      <c r="E168" t="s">
        <v>615</v>
      </c>
      <c r="F168" s="6"/>
      <c r="G168" s="6">
        <f t="shared" si="6"/>
        <v>180</v>
      </c>
      <c r="I168" s="6">
        <f t="shared" si="7"/>
        <v>360</v>
      </c>
      <c r="M168" s="6">
        <f t="shared" si="8"/>
        <v>180</v>
      </c>
    </row>
    <row r="169" spans="1:13" x14ac:dyDescent="0.3">
      <c r="A169">
        <v>168</v>
      </c>
      <c r="B169" t="s">
        <v>185</v>
      </c>
      <c r="C169" t="s">
        <v>341</v>
      </c>
      <c r="D169" t="s">
        <v>341</v>
      </c>
      <c r="E169" t="s">
        <v>608</v>
      </c>
      <c r="F169" s="6"/>
      <c r="G169" s="6">
        <f t="shared" si="6"/>
        <v>180</v>
      </c>
      <c r="I169" s="6">
        <f t="shared" si="7"/>
        <v>360</v>
      </c>
      <c r="M169" s="6">
        <f t="shared" si="8"/>
        <v>180</v>
      </c>
    </row>
    <row r="170" spans="1:13" x14ac:dyDescent="0.3">
      <c r="A170">
        <v>169</v>
      </c>
      <c r="B170" t="s">
        <v>73</v>
      </c>
      <c r="C170" t="s">
        <v>368</v>
      </c>
      <c r="D170" t="s">
        <v>275</v>
      </c>
      <c r="E170" t="s">
        <v>632</v>
      </c>
      <c r="F170" s="6">
        <v>45730</v>
      </c>
      <c r="G170" s="6">
        <f t="shared" si="6"/>
        <v>45910</v>
      </c>
      <c r="I170" s="6">
        <f t="shared" si="7"/>
        <v>46090</v>
      </c>
      <c r="M170" s="6">
        <f t="shared" si="8"/>
        <v>45910</v>
      </c>
    </row>
    <row r="171" spans="1:13" x14ac:dyDescent="0.3">
      <c r="A171">
        <v>170</v>
      </c>
      <c r="B171" t="s">
        <v>186</v>
      </c>
      <c r="C171" t="s">
        <v>341</v>
      </c>
      <c r="D171" t="s">
        <v>341</v>
      </c>
      <c r="E171" t="s">
        <v>632</v>
      </c>
      <c r="F171" s="6"/>
      <c r="G171" s="6">
        <f t="shared" si="6"/>
        <v>180</v>
      </c>
      <c r="I171" s="6">
        <f t="shared" si="7"/>
        <v>360</v>
      </c>
      <c r="M171" s="6">
        <f t="shared" si="8"/>
        <v>180</v>
      </c>
    </row>
    <row r="172" spans="1:13" x14ac:dyDescent="0.3">
      <c r="A172">
        <v>171</v>
      </c>
      <c r="B172" t="s">
        <v>175</v>
      </c>
      <c r="C172" t="s">
        <v>388</v>
      </c>
      <c r="D172" t="s">
        <v>346</v>
      </c>
      <c r="E172" t="s">
        <v>647</v>
      </c>
      <c r="F172" s="6"/>
      <c r="G172" s="6">
        <f t="shared" si="6"/>
        <v>180</v>
      </c>
      <c r="I172" s="6">
        <f t="shared" si="7"/>
        <v>360</v>
      </c>
      <c r="M172" s="6">
        <f t="shared" si="8"/>
        <v>180</v>
      </c>
    </row>
    <row r="173" spans="1:13" x14ac:dyDescent="0.3">
      <c r="A173">
        <v>172</v>
      </c>
      <c r="B173" t="s">
        <v>181</v>
      </c>
      <c r="C173" t="s">
        <v>388</v>
      </c>
      <c r="D173" t="s">
        <v>349</v>
      </c>
      <c r="E173" t="s">
        <v>617</v>
      </c>
      <c r="F173" s="6"/>
      <c r="G173" s="6">
        <f t="shared" si="6"/>
        <v>180</v>
      </c>
      <c r="I173" s="6">
        <f t="shared" si="7"/>
        <v>360</v>
      </c>
      <c r="M173" s="6">
        <f t="shared" si="8"/>
        <v>180</v>
      </c>
    </row>
    <row r="174" spans="1:13" x14ac:dyDescent="0.3">
      <c r="A174">
        <v>173</v>
      </c>
      <c r="B174" t="s">
        <v>168</v>
      </c>
      <c r="C174" t="s">
        <v>367</v>
      </c>
      <c r="D174">
        <v>230573</v>
      </c>
      <c r="E174" t="s">
        <v>627</v>
      </c>
      <c r="F174" s="6"/>
      <c r="G174" s="6">
        <f t="shared" si="6"/>
        <v>180</v>
      </c>
      <c r="I174" s="6">
        <f t="shared" si="7"/>
        <v>360</v>
      </c>
      <c r="M174" s="6">
        <f t="shared" si="8"/>
        <v>180</v>
      </c>
    </row>
    <row r="175" spans="1:13" x14ac:dyDescent="0.3">
      <c r="A175">
        <v>174</v>
      </c>
      <c r="B175" t="s">
        <v>194</v>
      </c>
      <c r="C175" t="s">
        <v>388</v>
      </c>
      <c r="D175" t="s">
        <v>356</v>
      </c>
      <c r="E175" t="s">
        <v>617</v>
      </c>
      <c r="F175" s="6"/>
      <c r="G175" s="6">
        <f t="shared" si="6"/>
        <v>180</v>
      </c>
      <c r="I175" s="6">
        <f t="shared" si="7"/>
        <v>360</v>
      </c>
      <c r="M175" s="6">
        <f t="shared" si="8"/>
        <v>180</v>
      </c>
    </row>
    <row r="176" spans="1:13" x14ac:dyDescent="0.3">
      <c r="A176">
        <v>175</v>
      </c>
      <c r="B176" t="s">
        <v>428</v>
      </c>
      <c r="C176" t="s">
        <v>363</v>
      </c>
      <c r="D176">
        <v>230559</v>
      </c>
      <c r="E176" t="s">
        <v>610</v>
      </c>
      <c r="F176" s="6"/>
      <c r="G176" s="6">
        <f t="shared" si="6"/>
        <v>180</v>
      </c>
      <c r="I176" s="6">
        <f t="shared" si="7"/>
        <v>360</v>
      </c>
      <c r="M176" s="6">
        <f t="shared" si="8"/>
        <v>180</v>
      </c>
    </row>
    <row r="177" spans="1:13" x14ac:dyDescent="0.3">
      <c r="A177">
        <v>176</v>
      </c>
      <c r="B177" t="s">
        <v>158</v>
      </c>
      <c r="C177" t="s">
        <v>368</v>
      </c>
      <c r="D177">
        <v>230611</v>
      </c>
      <c r="E177" t="s">
        <v>641</v>
      </c>
      <c r="F177" s="6"/>
      <c r="G177" s="6">
        <f t="shared" si="6"/>
        <v>180</v>
      </c>
      <c r="I177" s="6">
        <f t="shared" si="7"/>
        <v>360</v>
      </c>
      <c r="M177" s="6">
        <f t="shared" si="8"/>
        <v>180</v>
      </c>
    </row>
    <row r="178" spans="1:13" x14ac:dyDescent="0.3">
      <c r="A178">
        <v>177</v>
      </c>
      <c r="B178" t="s">
        <v>169</v>
      </c>
      <c r="C178" t="s">
        <v>367</v>
      </c>
      <c r="D178">
        <v>230648</v>
      </c>
      <c r="E178" t="s">
        <v>608</v>
      </c>
      <c r="F178" s="6"/>
      <c r="G178" s="6">
        <f t="shared" si="6"/>
        <v>180</v>
      </c>
      <c r="I178" s="6">
        <f t="shared" si="7"/>
        <v>360</v>
      </c>
      <c r="M178" s="6">
        <f t="shared" si="8"/>
        <v>180</v>
      </c>
    </row>
    <row r="179" spans="1:13" x14ac:dyDescent="0.3">
      <c r="A179">
        <v>178</v>
      </c>
      <c r="B179" t="s">
        <v>190</v>
      </c>
      <c r="C179" t="s">
        <v>341</v>
      </c>
      <c r="D179" t="s">
        <v>341</v>
      </c>
      <c r="E179" t="s">
        <v>608</v>
      </c>
      <c r="F179" s="6"/>
      <c r="G179" s="6">
        <f t="shared" si="6"/>
        <v>180</v>
      </c>
      <c r="I179" s="6">
        <f t="shared" si="7"/>
        <v>360</v>
      </c>
      <c r="M179" s="6">
        <f t="shared" si="8"/>
        <v>180</v>
      </c>
    </row>
    <row r="180" spans="1:13" x14ac:dyDescent="0.3">
      <c r="A180">
        <v>179</v>
      </c>
      <c r="B180" t="s">
        <v>190</v>
      </c>
      <c r="C180" t="s">
        <v>341</v>
      </c>
      <c r="D180" t="s">
        <v>341</v>
      </c>
      <c r="E180" t="s">
        <v>608</v>
      </c>
      <c r="F180" s="6"/>
      <c r="G180" s="6">
        <f t="shared" si="6"/>
        <v>180</v>
      </c>
      <c r="I180" s="6">
        <f t="shared" si="7"/>
        <v>360</v>
      </c>
      <c r="M180" s="6">
        <f t="shared" si="8"/>
        <v>180</v>
      </c>
    </row>
    <row r="181" spans="1:13" x14ac:dyDescent="0.3">
      <c r="A181">
        <v>180</v>
      </c>
      <c r="B181" t="s">
        <v>190</v>
      </c>
      <c r="C181" t="s">
        <v>341</v>
      </c>
      <c r="D181" t="s">
        <v>341</v>
      </c>
      <c r="E181" t="s">
        <v>608</v>
      </c>
      <c r="F181" s="6"/>
      <c r="G181" s="6">
        <f t="shared" si="6"/>
        <v>180</v>
      </c>
      <c r="I181" s="6">
        <f t="shared" si="7"/>
        <v>360</v>
      </c>
      <c r="M181" s="6">
        <f t="shared" si="8"/>
        <v>180</v>
      </c>
    </row>
    <row r="182" spans="1:13" x14ac:dyDescent="0.3">
      <c r="A182">
        <v>181</v>
      </c>
      <c r="B182" t="s">
        <v>144</v>
      </c>
      <c r="C182" t="s">
        <v>364</v>
      </c>
      <c r="D182">
        <v>230164</v>
      </c>
      <c r="E182" t="s">
        <v>617</v>
      </c>
      <c r="F182" s="6"/>
      <c r="G182" s="6">
        <f t="shared" si="6"/>
        <v>180</v>
      </c>
      <c r="I182" s="6">
        <f t="shared" si="7"/>
        <v>360</v>
      </c>
      <c r="M182" s="6">
        <f t="shared" si="8"/>
        <v>180</v>
      </c>
    </row>
    <row r="183" spans="1:13" x14ac:dyDescent="0.3">
      <c r="A183">
        <v>182</v>
      </c>
      <c r="B183" t="s">
        <v>118</v>
      </c>
      <c r="C183" t="s">
        <v>381</v>
      </c>
      <c r="D183" t="s">
        <v>207</v>
      </c>
      <c r="E183" t="s">
        <v>609</v>
      </c>
      <c r="F183" s="6"/>
      <c r="G183" s="6">
        <f t="shared" si="6"/>
        <v>180</v>
      </c>
      <c r="I183" s="6">
        <f t="shared" si="7"/>
        <v>360</v>
      </c>
      <c r="M183" s="6">
        <f t="shared" si="8"/>
        <v>180</v>
      </c>
    </row>
    <row r="184" spans="1:13" x14ac:dyDescent="0.3">
      <c r="A184">
        <v>183</v>
      </c>
      <c r="B184" t="s">
        <v>149</v>
      </c>
      <c r="C184" t="s">
        <v>363</v>
      </c>
      <c r="D184">
        <v>230210</v>
      </c>
      <c r="E184" t="s">
        <v>617</v>
      </c>
      <c r="F184" s="6"/>
      <c r="G184" s="6">
        <f t="shared" si="6"/>
        <v>180</v>
      </c>
      <c r="I184" s="6">
        <f t="shared" si="7"/>
        <v>360</v>
      </c>
      <c r="M184" s="6">
        <f t="shared" si="8"/>
        <v>180</v>
      </c>
    </row>
    <row r="185" spans="1:13" x14ac:dyDescent="0.3">
      <c r="A185">
        <v>184</v>
      </c>
      <c r="B185" t="s">
        <v>182</v>
      </c>
      <c r="C185" t="s">
        <v>388</v>
      </c>
      <c r="D185" t="s">
        <v>350</v>
      </c>
      <c r="E185" t="s">
        <v>614</v>
      </c>
      <c r="F185" s="6"/>
      <c r="G185" s="6">
        <f t="shared" si="6"/>
        <v>180</v>
      </c>
      <c r="I185" s="6">
        <f t="shared" si="7"/>
        <v>360</v>
      </c>
      <c r="M185" s="6">
        <f t="shared" si="8"/>
        <v>180</v>
      </c>
    </row>
    <row r="186" spans="1:13" x14ac:dyDescent="0.3">
      <c r="A186">
        <v>185</v>
      </c>
      <c r="B186" t="s">
        <v>195</v>
      </c>
      <c r="C186" t="s">
        <v>341</v>
      </c>
      <c r="D186" t="s">
        <v>341</v>
      </c>
      <c r="E186" t="s">
        <v>617</v>
      </c>
      <c r="F186" s="6"/>
      <c r="G186" s="6">
        <f t="shared" si="6"/>
        <v>180</v>
      </c>
      <c r="I186" s="6">
        <f t="shared" si="7"/>
        <v>360</v>
      </c>
      <c r="M186" s="6">
        <f t="shared" si="8"/>
        <v>180</v>
      </c>
    </row>
    <row r="187" spans="1:13" x14ac:dyDescent="0.3">
      <c r="A187">
        <v>186</v>
      </c>
      <c r="B187" t="s">
        <v>178</v>
      </c>
      <c r="C187" t="s">
        <v>361</v>
      </c>
      <c r="D187" t="s">
        <v>207</v>
      </c>
      <c r="E187" t="s">
        <v>622</v>
      </c>
      <c r="F187" s="6"/>
      <c r="G187" s="6">
        <f t="shared" si="6"/>
        <v>180</v>
      </c>
      <c r="I187" s="6">
        <f t="shared" si="7"/>
        <v>360</v>
      </c>
      <c r="M187" s="6">
        <f t="shared" si="8"/>
        <v>180</v>
      </c>
    </row>
    <row r="188" spans="1:13" x14ac:dyDescent="0.3">
      <c r="A188">
        <v>187</v>
      </c>
      <c r="B188" t="s">
        <v>132</v>
      </c>
      <c r="C188" t="s">
        <v>364</v>
      </c>
      <c r="D188" t="s">
        <v>331</v>
      </c>
      <c r="E188" t="s">
        <v>615</v>
      </c>
      <c r="F188" s="6"/>
      <c r="G188" s="6">
        <f t="shared" si="6"/>
        <v>180</v>
      </c>
      <c r="I188" s="6">
        <f t="shared" si="7"/>
        <v>360</v>
      </c>
      <c r="M188" s="6">
        <f t="shared" si="8"/>
        <v>180</v>
      </c>
    </row>
    <row r="189" spans="1:13" x14ac:dyDescent="0.3">
      <c r="A189">
        <v>188</v>
      </c>
      <c r="B189" t="s">
        <v>164</v>
      </c>
      <c r="C189" t="s">
        <v>364</v>
      </c>
      <c r="D189">
        <v>230511</v>
      </c>
      <c r="E189" t="s">
        <v>627</v>
      </c>
      <c r="F189" s="6"/>
      <c r="G189" s="6">
        <f t="shared" si="6"/>
        <v>180</v>
      </c>
      <c r="I189" s="6">
        <f t="shared" si="7"/>
        <v>360</v>
      </c>
      <c r="M189" s="6">
        <f t="shared" si="8"/>
        <v>180</v>
      </c>
    </row>
    <row r="190" spans="1:13" x14ac:dyDescent="0.3">
      <c r="A190">
        <v>189</v>
      </c>
      <c r="B190" t="s">
        <v>176</v>
      </c>
      <c r="C190" t="s">
        <v>368</v>
      </c>
      <c r="D190">
        <v>230720</v>
      </c>
      <c r="E190" t="s">
        <v>610</v>
      </c>
      <c r="F190" s="6"/>
      <c r="G190" s="6">
        <f t="shared" si="6"/>
        <v>180</v>
      </c>
      <c r="I190" s="6">
        <f t="shared" si="7"/>
        <v>360</v>
      </c>
      <c r="M190" s="6">
        <f t="shared" si="8"/>
        <v>180</v>
      </c>
    </row>
    <row r="191" spans="1:13" x14ac:dyDescent="0.3">
      <c r="A191">
        <v>190</v>
      </c>
      <c r="B191" t="s">
        <v>196</v>
      </c>
      <c r="C191" t="s">
        <v>341</v>
      </c>
      <c r="D191" t="s">
        <v>341</v>
      </c>
      <c r="E191" t="s">
        <v>608</v>
      </c>
      <c r="F191" s="6"/>
      <c r="G191" s="6">
        <f t="shared" si="6"/>
        <v>180</v>
      </c>
      <c r="I191" s="6">
        <f t="shared" si="7"/>
        <v>360</v>
      </c>
      <c r="M191" s="6">
        <f t="shared" si="8"/>
        <v>180</v>
      </c>
    </row>
    <row r="192" spans="1:13" x14ac:dyDescent="0.3">
      <c r="A192">
        <v>191</v>
      </c>
      <c r="B192" t="s">
        <v>202</v>
      </c>
      <c r="C192" t="s">
        <v>341</v>
      </c>
      <c r="D192" t="s">
        <v>341</v>
      </c>
      <c r="E192" t="s">
        <v>610</v>
      </c>
      <c r="F192" s="6"/>
      <c r="G192" s="6">
        <f t="shared" si="6"/>
        <v>180</v>
      </c>
      <c r="I192" s="6">
        <f t="shared" si="7"/>
        <v>360</v>
      </c>
      <c r="M192" s="6">
        <f t="shared" si="8"/>
        <v>180</v>
      </c>
    </row>
    <row r="193" spans="1:13" x14ac:dyDescent="0.3">
      <c r="A193">
        <v>192</v>
      </c>
      <c r="B193" t="s">
        <v>174</v>
      </c>
      <c r="C193" t="s">
        <v>364</v>
      </c>
      <c r="D193">
        <v>230704</v>
      </c>
      <c r="E193" t="s">
        <v>625</v>
      </c>
      <c r="F193" s="6"/>
      <c r="G193" s="6">
        <f t="shared" si="6"/>
        <v>180</v>
      </c>
      <c r="I193" s="6">
        <f t="shared" si="7"/>
        <v>360</v>
      </c>
      <c r="M193" s="6">
        <f t="shared" si="8"/>
        <v>180</v>
      </c>
    </row>
    <row r="194" spans="1:13" x14ac:dyDescent="0.3">
      <c r="A194">
        <v>193</v>
      </c>
      <c r="B194" t="s">
        <v>188</v>
      </c>
      <c r="C194" t="s">
        <v>361</v>
      </c>
      <c r="D194" t="s">
        <v>207</v>
      </c>
      <c r="E194" t="s">
        <v>635</v>
      </c>
      <c r="F194" s="6"/>
      <c r="G194" s="6">
        <f t="shared" ref="G194:G257" si="9">F194+$O$1</f>
        <v>180</v>
      </c>
      <c r="I194" s="6">
        <f t="shared" si="7"/>
        <v>360</v>
      </c>
      <c r="M194" s="6">
        <f t="shared" si="8"/>
        <v>180</v>
      </c>
    </row>
    <row r="195" spans="1:13" x14ac:dyDescent="0.3">
      <c r="A195">
        <v>194</v>
      </c>
      <c r="B195" t="s">
        <v>199</v>
      </c>
      <c r="C195" t="s">
        <v>341</v>
      </c>
      <c r="D195" t="s">
        <v>341</v>
      </c>
      <c r="E195" t="s">
        <v>610</v>
      </c>
      <c r="F195" s="6"/>
      <c r="G195" s="6">
        <f t="shared" si="9"/>
        <v>180</v>
      </c>
      <c r="I195" s="6">
        <f t="shared" ref="I195:I213" si="10">G195+$O$1</f>
        <v>360</v>
      </c>
      <c r="M195" s="6">
        <f t="shared" ref="M195:M213" si="11">IF(H195="Done",IF(J195="Done",IF(L195="Done","-",K195),I195),G195)</f>
        <v>180</v>
      </c>
    </row>
    <row r="196" spans="1:13" x14ac:dyDescent="0.3">
      <c r="A196">
        <v>195</v>
      </c>
      <c r="B196" t="s">
        <v>197</v>
      </c>
      <c r="C196" t="s">
        <v>389</v>
      </c>
      <c r="D196" t="s">
        <v>357</v>
      </c>
      <c r="E196" t="s">
        <v>627</v>
      </c>
      <c r="F196" s="6"/>
      <c r="G196" s="6">
        <f t="shared" si="9"/>
        <v>180</v>
      </c>
      <c r="I196" s="6">
        <f t="shared" si="10"/>
        <v>360</v>
      </c>
      <c r="M196" s="6">
        <f t="shared" si="11"/>
        <v>180</v>
      </c>
    </row>
    <row r="197" spans="1:13" x14ac:dyDescent="0.3">
      <c r="A197">
        <v>196</v>
      </c>
      <c r="B197" t="s">
        <v>184</v>
      </c>
      <c r="C197" t="s">
        <v>361</v>
      </c>
      <c r="D197" t="s">
        <v>207</v>
      </c>
      <c r="E197" t="s">
        <v>608</v>
      </c>
      <c r="F197" s="6"/>
      <c r="G197" s="6">
        <f t="shared" si="9"/>
        <v>180</v>
      </c>
      <c r="I197" s="6">
        <f t="shared" si="10"/>
        <v>360</v>
      </c>
      <c r="M197" s="6">
        <f t="shared" si="11"/>
        <v>180</v>
      </c>
    </row>
    <row r="198" spans="1:13" x14ac:dyDescent="0.3">
      <c r="A198">
        <v>197</v>
      </c>
      <c r="B198" t="s">
        <v>203</v>
      </c>
      <c r="C198" t="s">
        <v>341</v>
      </c>
      <c r="D198" t="s">
        <v>341</v>
      </c>
      <c r="E198" t="s">
        <v>617</v>
      </c>
      <c r="F198" s="6"/>
      <c r="G198" s="6">
        <f t="shared" si="9"/>
        <v>180</v>
      </c>
      <c r="I198" s="6">
        <f t="shared" si="10"/>
        <v>360</v>
      </c>
      <c r="M198" s="6">
        <f t="shared" si="11"/>
        <v>180</v>
      </c>
    </row>
    <row r="199" spans="1:13" x14ac:dyDescent="0.3">
      <c r="A199">
        <v>198</v>
      </c>
      <c r="B199" t="s">
        <v>133</v>
      </c>
      <c r="C199" t="s">
        <v>364</v>
      </c>
      <c r="D199">
        <v>230787</v>
      </c>
      <c r="E199" t="s">
        <v>613</v>
      </c>
      <c r="F199" s="6"/>
      <c r="G199" s="6">
        <f t="shared" si="9"/>
        <v>180</v>
      </c>
      <c r="I199" s="6">
        <f t="shared" si="10"/>
        <v>360</v>
      </c>
      <c r="M199" s="6">
        <f t="shared" si="11"/>
        <v>180</v>
      </c>
    </row>
    <row r="200" spans="1:13" x14ac:dyDescent="0.3">
      <c r="A200">
        <v>199</v>
      </c>
      <c r="B200" t="s">
        <v>191</v>
      </c>
      <c r="C200" t="s">
        <v>389</v>
      </c>
      <c r="D200" t="s">
        <v>353</v>
      </c>
      <c r="E200" t="s">
        <v>639</v>
      </c>
      <c r="F200" s="6"/>
      <c r="G200" s="6">
        <f t="shared" si="9"/>
        <v>180</v>
      </c>
      <c r="I200" s="6">
        <f t="shared" si="10"/>
        <v>360</v>
      </c>
      <c r="M200" s="6">
        <f t="shared" si="11"/>
        <v>180</v>
      </c>
    </row>
    <row r="201" spans="1:13" x14ac:dyDescent="0.3">
      <c r="A201">
        <v>200</v>
      </c>
      <c r="B201" t="s">
        <v>189</v>
      </c>
      <c r="C201" t="s">
        <v>388</v>
      </c>
      <c r="D201" t="s">
        <v>352</v>
      </c>
      <c r="E201" t="s">
        <v>610</v>
      </c>
      <c r="F201" s="6"/>
      <c r="G201" s="6">
        <f t="shared" si="9"/>
        <v>180</v>
      </c>
      <c r="I201" s="6">
        <f t="shared" si="10"/>
        <v>360</v>
      </c>
      <c r="M201" s="6">
        <f t="shared" si="11"/>
        <v>180</v>
      </c>
    </row>
    <row r="202" spans="1:13" x14ac:dyDescent="0.3">
      <c r="A202">
        <v>201</v>
      </c>
      <c r="B202" t="s">
        <v>55</v>
      </c>
      <c r="C202" t="s">
        <v>368</v>
      </c>
      <c r="D202">
        <v>230637</v>
      </c>
      <c r="E202" t="s">
        <v>617</v>
      </c>
      <c r="F202" s="6">
        <v>45682</v>
      </c>
      <c r="G202" s="6">
        <f t="shared" si="9"/>
        <v>45862</v>
      </c>
      <c r="I202" s="6">
        <f t="shared" si="10"/>
        <v>46042</v>
      </c>
      <c r="M202" s="6">
        <f t="shared" si="11"/>
        <v>45862</v>
      </c>
    </row>
    <row r="203" spans="1:13" x14ac:dyDescent="0.3">
      <c r="A203">
        <v>202</v>
      </c>
      <c r="B203" t="s">
        <v>173</v>
      </c>
      <c r="C203" t="s">
        <v>368</v>
      </c>
      <c r="D203">
        <v>230738</v>
      </c>
      <c r="E203" t="s">
        <v>615</v>
      </c>
      <c r="F203" s="6"/>
      <c r="G203" s="6">
        <f t="shared" si="9"/>
        <v>180</v>
      </c>
      <c r="I203" s="6">
        <f t="shared" si="10"/>
        <v>360</v>
      </c>
      <c r="M203" s="6">
        <f t="shared" si="11"/>
        <v>180</v>
      </c>
    </row>
    <row r="204" spans="1:13" x14ac:dyDescent="0.3">
      <c r="A204">
        <v>203</v>
      </c>
      <c r="B204" t="s">
        <v>204</v>
      </c>
      <c r="C204" t="s">
        <v>341</v>
      </c>
      <c r="D204" t="s">
        <v>341</v>
      </c>
      <c r="E204" t="s">
        <v>610</v>
      </c>
      <c r="F204" s="6"/>
      <c r="G204" s="6">
        <f t="shared" si="9"/>
        <v>180</v>
      </c>
      <c r="I204" s="6">
        <f t="shared" si="10"/>
        <v>360</v>
      </c>
      <c r="M204" s="6">
        <f t="shared" si="11"/>
        <v>180</v>
      </c>
    </row>
    <row r="205" spans="1:13" x14ac:dyDescent="0.3">
      <c r="A205">
        <v>204</v>
      </c>
      <c r="B205" t="s">
        <v>46</v>
      </c>
      <c r="C205" t="s">
        <v>365</v>
      </c>
      <c r="D205" t="s">
        <v>249</v>
      </c>
      <c r="E205" t="s">
        <v>610</v>
      </c>
      <c r="F205" s="6">
        <v>45715</v>
      </c>
      <c r="G205" s="6">
        <f t="shared" si="9"/>
        <v>45895</v>
      </c>
      <c r="I205" s="6">
        <f t="shared" si="10"/>
        <v>46075</v>
      </c>
      <c r="M205" s="6">
        <f t="shared" si="11"/>
        <v>45895</v>
      </c>
    </row>
    <row r="206" spans="1:13" x14ac:dyDescent="0.3">
      <c r="A206">
        <v>205</v>
      </c>
      <c r="B206" t="s">
        <v>183</v>
      </c>
      <c r="C206" t="s">
        <v>389</v>
      </c>
      <c r="D206" t="s">
        <v>351</v>
      </c>
      <c r="E206" t="s">
        <v>608</v>
      </c>
      <c r="F206" s="6"/>
      <c r="G206" s="6">
        <f t="shared" si="9"/>
        <v>180</v>
      </c>
      <c r="I206" s="6">
        <f t="shared" si="10"/>
        <v>360</v>
      </c>
      <c r="M206" s="6">
        <f t="shared" si="11"/>
        <v>180</v>
      </c>
    </row>
    <row r="207" spans="1:13" x14ac:dyDescent="0.3">
      <c r="A207">
        <v>206</v>
      </c>
      <c r="B207" t="s">
        <v>205</v>
      </c>
      <c r="C207" t="s">
        <v>341</v>
      </c>
      <c r="D207" t="s">
        <v>341</v>
      </c>
      <c r="E207" t="s">
        <v>618</v>
      </c>
      <c r="F207" s="6"/>
      <c r="G207" s="6">
        <f t="shared" si="9"/>
        <v>180</v>
      </c>
      <c r="I207" s="6">
        <f t="shared" si="10"/>
        <v>360</v>
      </c>
      <c r="M207" s="6">
        <f t="shared" si="11"/>
        <v>180</v>
      </c>
    </row>
    <row r="208" spans="1:13" x14ac:dyDescent="0.3">
      <c r="A208">
        <v>207</v>
      </c>
      <c r="B208" t="s">
        <v>206</v>
      </c>
      <c r="C208" t="s">
        <v>341</v>
      </c>
      <c r="D208" t="s">
        <v>341</v>
      </c>
      <c r="E208" t="s">
        <v>608</v>
      </c>
      <c r="F208" s="6"/>
      <c r="G208" s="6">
        <f t="shared" si="9"/>
        <v>180</v>
      </c>
      <c r="I208" s="6">
        <f t="shared" si="10"/>
        <v>360</v>
      </c>
      <c r="M208" s="6">
        <f t="shared" si="11"/>
        <v>180</v>
      </c>
    </row>
    <row r="209" spans="1:13" x14ac:dyDescent="0.3">
      <c r="A209">
        <v>208</v>
      </c>
      <c r="B209" t="s">
        <v>198</v>
      </c>
      <c r="C209" t="s">
        <v>388</v>
      </c>
      <c r="D209" t="s">
        <v>358</v>
      </c>
      <c r="E209" t="s">
        <v>648</v>
      </c>
      <c r="F209" s="6"/>
      <c r="G209" s="6">
        <f t="shared" si="9"/>
        <v>180</v>
      </c>
      <c r="I209" s="6">
        <f t="shared" si="10"/>
        <v>360</v>
      </c>
      <c r="M209" s="6">
        <f t="shared" si="11"/>
        <v>180</v>
      </c>
    </row>
    <row r="210" spans="1:13" x14ac:dyDescent="0.3">
      <c r="A210">
        <v>209</v>
      </c>
      <c r="B210" t="s">
        <v>201</v>
      </c>
      <c r="C210" t="s">
        <v>361</v>
      </c>
      <c r="D210" t="s">
        <v>535</v>
      </c>
      <c r="E210" t="s">
        <v>608</v>
      </c>
      <c r="F210" s="6"/>
      <c r="G210" s="6">
        <f t="shared" si="9"/>
        <v>180</v>
      </c>
      <c r="I210" s="6">
        <f t="shared" si="10"/>
        <v>360</v>
      </c>
      <c r="M210" s="6">
        <f t="shared" si="11"/>
        <v>180</v>
      </c>
    </row>
    <row r="211" spans="1:13" x14ac:dyDescent="0.3">
      <c r="A211">
        <v>210</v>
      </c>
      <c r="B211" t="s">
        <v>171</v>
      </c>
      <c r="C211" t="s">
        <v>364</v>
      </c>
      <c r="D211">
        <v>230882</v>
      </c>
      <c r="E211" t="s">
        <v>627</v>
      </c>
      <c r="F211" s="6"/>
      <c r="G211" s="6">
        <f t="shared" si="9"/>
        <v>180</v>
      </c>
      <c r="I211" s="6">
        <f t="shared" si="10"/>
        <v>360</v>
      </c>
      <c r="M211" s="6">
        <f t="shared" si="11"/>
        <v>180</v>
      </c>
    </row>
    <row r="212" spans="1:13" x14ac:dyDescent="0.3">
      <c r="A212">
        <v>211</v>
      </c>
      <c r="B212" t="s">
        <v>193</v>
      </c>
      <c r="C212" t="s">
        <v>364</v>
      </c>
      <c r="D212" t="s">
        <v>355</v>
      </c>
      <c r="E212" t="s">
        <v>649</v>
      </c>
      <c r="F212" s="6"/>
      <c r="G212" s="6">
        <f t="shared" si="9"/>
        <v>180</v>
      </c>
      <c r="I212" s="6">
        <f t="shared" si="10"/>
        <v>360</v>
      </c>
      <c r="M212" s="6">
        <f t="shared" si="11"/>
        <v>180</v>
      </c>
    </row>
    <row r="213" spans="1:13" x14ac:dyDescent="0.3">
      <c r="A213">
        <v>212</v>
      </c>
      <c r="B213" t="s">
        <v>192</v>
      </c>
      <c r="C213" t="s">
        <v>389</v>
      </c>
      <c r="D213" t="s">
        <v>354</v>
      </c>
      <c r="E213" t="s">
        <v>617</v>
      </c>
      <c r="F213" s="6"/>
      <c r="G213" s="6">
        <f t="shared" si="9"/>
        <v>180</v>
      </c>
      <c r="I213" s="6">
        <f t="shared" si="10"/>
        <v>360</v>
      </c>
      <c r="M213" s="6">
        <f t="shared" si="11"/>
        <v>180</v>
      </c>
    </row>
    <row r="214" spans="1:13" x14ac:dyDescent="0.3">
      <c r="A214">
        <v>213</v>
      </c>
      <c r="B214" t="s">
        <v>170</v>
      </c>
      <c r="C214" t="s">
        <v>341</v>
      </c>
      <c r="D214" t="s">
        <v>341</v>
      </c>
      <c r="E214" t="s">
        <v>615</v>
      </c>
      <c r="F214" s="6"/>
      <c r="G214" s="6">
        <f t="shared" si="9"/>
        <v>180</v>
      </c>
      <c r="I214" s="6">
        <f t="shared" ref="I214:I277" si="12">G214+$O$1</f>
        <v>360</v>
      </c>
      <c r="M214" s="6">
        <f t="shared" ref="M214:M277" si="13">IF(H214="Done",IF(J214="Done",IF(L214="Done","-",K214),I214),G214)</f>
        <v>180</v>
      </c>
    </row>
    <row r="215" spans="1:13" x14ac:dyDescent="0.3">
      <c r="A215">
        <v>214</v>
      </c>
      <c r="B215" t="s">
        <v>429</v>
      </c>
      <c r="C215" t="s">
        <v>341</v>
      </c>
      <c r="D215" t="s">
        <v>341</v>
      </c>
      <c r="E215" t="s">
        <v>613</v>
      </c>
      <c r="F215" s="6"/>
      <c r="G215" s="6">
        <f t="shared" si="9"/>
        <v>180</v>
      </c>
      <c r="I215" s="6">
        <f t="shared" si="12"/>
        <v>360</v>
      </c>
      <c r="M215" s="6">
        <f t="shared" si="13"/>
        <v>180</v>
      </c>
    </row>
    <row r="216" spans="1:13" x14ac:dyDescent="0.3">
      <c r="A216">
        <v>215</v>
      </c>
      <c r="B216" t="s">
        <v>430</v>
      </c>
      <c r="C216" t="s">
        <v>341</v>
      </c>
      <c r="D216" t="s">
        <v>341</v>
      </c>
      <c r="E216" t="s">
        <v>613</v>
      </c>
      <c r="F216" s="6"/>
      <c r="G216" s="6">
        <f t="shared" si="9"/>
        <v>180</v>
      </c>
      <c r="I216" s="6">
        <f t="shared" si="12"/>
        <v>360</v>
      </c>
      <c r="M216" s="6">
        <f t="shared" si="13"/>
        <v>180</v>
      </c>
    </row>
    <row r="217" spans="1:13" x14ac:dyDescent="0.3">
      <c r="A217">
        <v>216</v>
      </c>
      <c r="B217" t="s">
        <v>431</v>
      </c>
      <c r="C217" t="s">
        <v>368</v>
      </c>
      <c r="D217">
        <v>230304</v>
      </c>
      <c r="E217" t="s">
        <v>623</v>
      </c>
      <c r="F217" s="6"/>
      <c r="G217" s="6">
        <f t="shared" si="9"/>
        <v>180</v>
      </c>
      <c r="I217" s="6">
        <f t="shared" si="12"/>
        <v>360</v>
      </c>
      <c r="M217" s="6">
        <f t="shared" si="13"/>
        <v>180</v>
      </c>
    </row>
    <row r="218" spans="1:13" x14ac:dyDescent="0.3">
      <c r="A218">
        <v>217</v>
      </c>
      <c r="B218" t="s">
        <v>432</v>
      </c>
      <c r="C218" t="s">
        <v>341</v>
      </c>
      <c r="D218" t="s">
        <v>341</v>
      </c>
      <c r="E218" t="s">
        <v>627</v>
      </c>
      <c r="F218" s="6"/>
      <c r="G218" s="6">
        <f t="shared" si="9"/>
        <v>180</v>
      </c>
      <c r="I218" s="6">
        <f t="shared" si="12"/>
        <v>360</v>
      </c>
      <c r="M218" s="6">
        <f t="shared" si="13"/>
        <v>180</v>
      </c>
    </row>
    <row r="219" spans="1:13" x14ac:dyDescent="0.3">
      <c r="A219">
        <v>218</v>
      </c>
      <c r="B219" t="s">
        <v>433</v>
      </c>
      <c r="C219" t="s">
        <v>341</v>
      </c>
      <c r="D219" t="s">
        <v>341</v>
      </c>
      <c r="E219" t="s">
        <v>619</v>
      </c>
      <c r="F219" s="6"/>
      <c r="G219" s="6">
        <f t="shared" si="9"/>
        <v>180</v>
      </c>
      <c r="I219" s="6">
        <f t="shared" si="12"/>
        <v>360</v>
      </c>
      <c r="M219" s="6">
        <f t="shared" si="13"/>
        <v>180</v>
      </c>
    </row>
    <row r="220" spans="1:13" x14ac:dyDescent="0.3">
      <c r="A220">
        <v>219</v>
      </c>
      <c r="B220" t="s">
        <v>434</v>
      </c>
      <c r="C220" t="s">
        <v>361</v>
      </c>
      <c r="D220" t="s">
        <v>536</v>
      </c>
      <c r="E220" t="s">
        <v>628</v>
      </c>
      <c r="F220" s="6"/>
      <c r="G220" s="6">
        <f t="shared" si="9"/>
        <v>180</v>
      </c>
      <c r="I220" s="6">
        <f t="shared" si="12"/>
        <v>360</v>
      </c>
      <c r="M220" s="6">
        <f t="shared" si="13"/>
        <v>180</v>
      </c>
    </row>
    <row r="221" spans="1:13" x14ac:dyDescent="0.3">
      <c r="A221">
        <v>220</v>
      </c>
      <c r="B221" t="s">
        <v>435</v>
      </c>
      <c r="C221" t="s">
        <v>388</v>
      </c>
      <c r="D221" t="s">
        <v>537</v>
      </c>
      <c r="E221" t="s">
        <v>650</v>
      </c>
      <c r="F221" s="6"/>
      <c r="G221" s="6">
        <f t="shared" si="9"/>
        <v>180</v>
      </c>
      <c r="I221" s="6">
        <f t="shared" si="12"/>
        <v>360</v>
      </c>
      <c r="M221" s="6">
        <f t="shared" si="13"/>
        <v>180</v>
      </c>
    </row>
    <row r="222" spans="1:13" x14ac:dyDescent="0.3">
      <c r="A222">
        <v>221</v>
      </c>
      <c r="B222" t="s">
        <v>436</v>
      </c>
      <c r="C222" t="s">
        <v>368</v>
      </c>
      <c r="D222">
        <v>2023816</v>
      </c>
      <c r="E222" t="s">
        <v>618</v>
      </c>
      <c r="F222" s="6"/>
      <c r="G222" s="6">
        <f t="shared" si="9"/>
        <v>180</v>
      </c>
      <c r="I222" s="6">
        <f t="shared" si="12"/>
        <v>360</v>
      </c>
      <c r="M222" s="6">
        <f t="shared" si="13"/>
        <v>180</v>
      </c>
    </row>
    <row r="223" spans="1:13" x14ac:dyDescent="0.3">
      <c r="A223">
        <v>222</v>
      </c>
      <c r="B223" t="s">
        <v>437</v>
      </c>
      <c r="C223" t="s">
        <v>361</v>
      </c>
      <c r="D223" t="s">
        <v>538</v>
      </c>
      <c r="E223" t="s">
        <v>627</v>
      </c>
      <c r="F223" s="6"/>
      <c r="G223" s="6">
        <f t="shared" si="9"/>
        <v>180</v>
      </c>
      <c r="I223" s="6">
        <f t="shared" si="12"/>
        <v>360</v>
      </c>
      <c r="M223" s="6">
        <f t="shared" si="13"/>
        <v>180</v>
      </c>
    </row>
    <row r="224" spans="1:13" x14ac:dyDescent="0.3">
      <c r="A224">
        <v>223</v>
      </c>
      <c r="B224" t="s">
        <v>438</v>
      </c>
      <c r="C224" t="s">
        <v>341</v>
      </c>
      <c r="D224" t="s">
        <v>341</v>
      </c>
      <c r="E224" t="s">
        <v>611</v>
      </c>
      <c r="F224" s="6"/>
      <c r="G224" s="6">
        <f t="shared" si="9"/>
        <v>180</v>
      </c>
      <c r="I224" s="6">
        <f t="shared" si="12"/>
        <v>360</v>
      </c>
      <c r="M224" s="6">
        <f t="shared" si="13"/>
        <v>180</v>
      </c>
    </row>
    <row r="225" spans="1:13" x14ac:dyDescent="0.3">
      <c r="A225">
        <v>224</v>
      </c>
      <c r="B225" t="s">
        <v>439</v>
      </c>
      <c r="C225" t="s">
        <v>368</v>
      </c>
      <c r="D225">
        <v>230811</v>
      </c>
      <c r="E225" t="s">
        <v>627</v>
      </c>
      <c r="F225" s="6"/>
      <c r="G225" s="6">
        <f t="shared" si="9"/>
        <v>180</v>
      </c>
      <c r="I225" s="6">
        <f t="shared" si="12"/>
        <v>360</v>
      </c>
      <c r="M225" s="6">
        <f t="shared" si="13"/>
        <v>180</v>
      </c>
    </row>
    <row r="226" spans="1:13" x14ac:dyDescent="0.3">
      <c r="A226">
        <v>225</v>
      </c>
      <c r="B226" t="s">
        <v>440</v>
      </c>
      <c r="C226" t="s">
        <v>389</v>
      </c>
      <c r="D226" t="s">
        <v>539</v>
      </c>
      <c r="E226" t="s">
        <v>651</v>
      </c>
      <c r="F226" s="6"/>
      <c r="G226" s="6">
        <f t="shared" si="9"/>
        <v>180</v>
      </c>
      <c r="I226" s="6">
        <f t="shared" si="12"/>
        <v>360</v>
      </c>
      <c r="M226" s="6">
        <f t="shared" si="13"/>
        <v>180</v>
      </c>
    </row>
    <row r="227" spans="1:13" x14ac:dyDescent="0.3">
      <c r="A227">
        <v>226</v>
      </c>
      <c r="B227" t="s">
        <v>441</v>
      </c>
      <c r="C227" t="s">
        <v>389</v>
      </c>
      <c r="D227" t="s">
        <v>540</v>
      </c>
      <c r="E227" t="s">
        <v>615</v>
      </c>
      <c r="F227" s="6"/>
      <c r="G227" s="6">
        <f t="shared" si="9"/>
        <v>180</v>
      </c>
      <c r="I227" s="6">
        <f t="shared" si="12"/>
        <v>360</v>
      </c>
      <c r="M227" s="6">
        <f t="shared" si="13"/>
        <v>180</v>
      </c>
    </row>
    <row r="228" spans="1:13" x14ac:dyDescent="0.3">
      <c r="A228">
        <v>227</v>
      </c>
      <c r="B228" t="s">
        <v>442</v>
      </c>
      <c r="C228" t="s">
        <v>368</v>
      </c>
      <c r="D228">
        <v>230718</v>
      </c>
      <c r="E228" t="s">
        <v>608</v>
      </c>
      <c r="F228" s="6"/>
      <c r="G228" s="6">
        <f t="shared" si="9"/>
        <v>180</v>
      </c>
      <c r="I228" s="6">
        <f t="shared" si="12"/>
        <v>360</v>
      </c>
      <c r="M228" s="6">
        <f t="shared" si="13"/>
        <v>180</v>
      </c>
    </row>
    <row r="229" spans="1:13" x14ac:dyDescent="0.3">
      <c r="A229">
        <v>228</v>
      </c>
      <c r="B229" t="s">
        <v>443</v>
      </c>
      <c r="C229" t="s">
        <v>361</v>
      </c>
      <c r="D229" t="s">
        <v>541</v>
      </c>
      <c r="E229" t="s">
        <v>641</v>
      </c>
      <c r="F229" s="6"/>
      <c r="G229" s="6">
        <f t="shared" si="9"/>
        <v>180</v>
      </c>
      <c r="I229" s="6">
        <f t="shared" si="12"/>
        <v>360</v>
      </c>
      <c r="M229" s="6">
        <f t="shared" si="13"/>
        <v>180</v>
      </c>
    </row>
    <row r="230" spans="1:13" x14ac:dyDescent="0.3">
      <c r="A230">
        <v>229</v>
      </c>
      <c r="B230" t="s">
        <v>444</v>
      </c>
      <c r="C230" t="s">
        <v>368</v>
      </c>
      <c r="D230">
        <v>240137</v>
      </c>
      <c r="E230" t="s">
        <v>608</v>
      </c>
      <c r="F230" s="6"/>
      <c r="G230" s="6">
        <f t="shared" si="9"/>
        <v>180</v>
      </c>
      <c r="I230" s="6">
        <f t="shared" si="12"/>
        <v>360</v>
      </c>
      <c r="M230" s="6">
        <f t="shared" si="13"/>
        <v>180</v>
      </c>
    </row>
    <row r="231" spans="1:13" x14ac:dyDescent="0.3">
      <c r="A231">
        <v>230</v>
      </c>
      <c r="B231" t="s">
        <v>445</v>
      </c>
      <c r="C231" t="s">
        <v>341</v>
      </c>
      <c r="D231" t="s">
        <v>341</v>
      </c>
      <c r="E231" t="s">
        <v>652</v>
      </c>
      <c r="F231" s="6"/>
      <c r="G231" s="6">
        <f t="shared" si="9"/>
        <v>180</v>
      </c>
      <c r="I231" s="6">
        <f t="shared" si="12"/>
        <v>360</v>
      </c>
      <c r="M231" s="6">
        <f t="shared" si="13"/>
        <v>180</v>
      </c>
    </row>
    <row r="232" spans="1:13" x14ac:dyDescent="0.3">
      <c r="A232">
        <v>231</v>
      </c>
      <c r="B232" t="s">
        <v>165</v>
      </c>
      <c r="C232" t="s">
        <v>364</v>
      </c>
      <c r="D232">
        <v>230723</v>
      </c>
      <c r="E232" t="s">
        <v>610</v>
      </c>
      <c r="F232" s="6"/>
      <c r="G232" s="6">
        <f t="shared" si="9"/>
        <v>180</v>
      </c>
      <c r="I232" s="6">
        <f t="shared" si="12"/>
        <v>360</v>
      </c>
      <c r="M232" s="6">
        <f t="shared" si="13"/>
        <v>180</v>
      </c>
    </row>
    <row r="233" spans="1:13" x14ac:dyDescent="0.3">
      <c r="A233">
        <v>232</v>
      </c>
      <c r="B233" t="s">
        <v>446</v>
      </c>
      <c r="C233" t="s">
        <v>361</v>
      </c>
      <c r="D233" t="s">
        <v>542</v>
      </c>
      <c r="E233" t="s">
        <v>632</v>
      </c>
      <c r="F233" s="6"/>
      <c r="G233" s="6">
        <f t="shared" si="9"/>
        <v>180</v>
      </c>
      <c r="I233" s="6">
        <f t="shared" si="12"/>
        <v>360</v>
      </c>
      <c r="M233" s="6">
        <f t="shared" si="13"/>
        <v>180</v>
      </c>
    </row>
    <row r="234" spans="1:13" x14ac:dyDescent="0.3">
      <c r="A234">
        <v>233</v>
      </c>
      <c r="B234" t="s">
        <v>447</v>
      </c>
      <c r="C234" t="s">
        <v>389</v>
      </c>
      <c r="D234" t="s">
        <v>543</v>
      </c>
      <c r="E234" t="s">
        <v>627</v>
      </c>
      <c r="F234" s="6"/>
      <c r="G234" s="6">
        <f t="shared" si="9"/>
        <v>180</v>
      </c>
      <c r="I234" s="6">
        <f t="shared" si="12"/>
        <v>360</v>
      </c>
      <c r="M234" s="6">
        <f t="shared" si="13"/>
        <v>180</v>
      </c>
    </row>
    <row r="235" spans="1:13" x14ac:dyDescent="0.3">
      <c r="A235">
        <v>234</v>
      </c>
      <c r="B235" t="s">
        <v>448</v>
      </c>
      <c r="C235" t="s">
        <v>367</v>
      </c>
      <c r="D235">
        <v>230613</v>
      </c>
      <c r="E235" t="s">
        <v>617</v>
      </c>
      <c r="F235" s="6"/>
      <c r="G235" s="6">
        <f t="shared" si="9"/>
        <v>180</v>
      </c>
      <c r="I235" s="6">
        <f t="shared" si="12"/>
        <v>360</v>
      </c>
      <c r="M235" s="6">
        <f t="shared" si="13"/>
        <v>180</v>
      </c>
    </row>
    <row r="236" spans="1:13" x14ac:dyDescent="0.3">
      <c r="A236">
        <v>235</v>
      </c>
      <c r="B236" t="s">
        <v>449</v>
      </c>
      <c r="C236" t="s">
        <v>368</v>
      </c>
      <c r="D236">
        <v>230615</v>
      </c>
      <c r="E236" t="s">
        <v>634</v>
      </c>
      <c r="F236" s="6"/>
      <c r="G236" s="6">
        <f t="shared" si="9"/>
        <v>180</v>
      </c>
      <c r="I236" s="6">
        <f t="shared" si="12"/>
        <v>360</v>
      </c>
      <c r="M236" s="6">
        <f t="shared" si="13"/>
        <v>180</v>
      </c>
    </row>
    <row r="237" spans="1:13" x14ac:dyDescent="0.3">
      <c r="A237">
        <v>236</v>
      </c>
      <c r="B237" t="s">
        <v>450</v>
      </c>
      <c r="C237" t="s">
        <v>531</v>
      </c>
      <c r="D237">
        <v>230594</v>
      </c>
      <c r="E237" t="s">
        <v>632</v>
      </c>
      <c r="F237" s="6"/>
      <c r="G237" s="6">
        <f t="shared" si="9"/>
        <v>180</v>
      </c>
      <c r="I237" s="6">
        <f t="shared" si="12"/>
        <v>360</v>
      </c>
      <c r="M237" s="6">
        <f t="shared" si="13"/>
        <v>180</v>
      </c>
    </row>
    <row r="238" spans="1:13" x14ac:dyDescent="0.3">
      <c r="A238">
        <v>237</v>
      </c>
      <c r="B238" t="s">
        <v>451</v>
      </c>
      <c r="C238" t="s">
        <v>388</v>
      </c>
      <c r="D238" t="s">
        <v>544</v>
      </c>
      <c r="E238" t="s">
        <v>627</v>
      </c>
      <c r="F238" s="6"/>
      <c r="G238" s="6">
        <f t="shared" si="9"/>
        <v>180</v>
      </c>
      <c r="I238" s="6">
        <f t="shared" si="12"/>
        <v>360</v>
      </c>
      <c r="M238" s="6">
        <f t="shared" si="13"/>
        <v>180</v>
      </c>
    </row>
    <row r="239" spans="1:13" x14ac:dyDescent="0.3">
      <c r="A239">
        <v>238</v>
      </c>
      <c r="B239" t="s">
        <v>452</v>
      </c>
      <c r="C239" t="s">
        <v>368</v>
      </c>
      <c r="D239">
        <v>230892</v>
      </c>
      <c r="E239" t="s">
        <v>641</v>
      </c>
      <c r="F239" s="6"/>
      <c r="G239" s="6">
        <f t="shared" si="9"/>
        <v>180</v>
      </c>
      <c r="I239" s="6">
        <f t="shared" si="12"/>
        <v>360</v>
      </c>
      <c r="M239" s="6">
        <f t="shared" si="13"/>
        <v>180</v>
      </c>
    </row>
    <row r="240" spans="1:13" x14ac:dyDescent="0.3">
      <c r="A240">
        <v>239</v>
      </c>
      <c r="B240" t="s">
        <v>453</v>
      </c>
      <c r="C240" t="s">
        <v>388</v>
      </c>
      <c r="D240" t="s">
        <v>545</v>
      </c>
      <c r="E240" t="s">
        <v>653</v>
      </c>
      <c r="F240" s="6"/>
      <c r="G240" s="6">
        <f t="shared" si="9"/>
        <v>180</v>
      </c>
      <c r="I240" s="6">
        <f t="shared" si="12"/>
        <v>360</v>
      </c>
      <c r="M240" s="6">
        <f t="shared" si="13"/>
        <v>180</v>
      </c>
    </row>
    <row r="241" spans="1:13" x14ac:dyDescent="0.3">
      <c r="A241">
        <v>240</v>
      </c>
      <c r="B241" t="s">
        <v>454</v>
      </c>
      <c r="C241" t="s">
        <v>389</v>
      </c>
      <c r="D241" t="s">
        <v>546</v>
      </c>
      <c r="E241" t="s">
        <v>608</v>
      </c>
      <c r="F241" s="6"/>
      <c r="G241" s="6">
        <f t="shared" si="9"/>
        <v>180</v>
      </c>
      <c r="I241" s="6">
        <f t="shared" si="12"/>
        <v>360</v>
      </c>
      <c r="M241" s="6">
        <f t="shared" si="13"/>
        <v>180</v>
      </c>
    </row>
    <row r="242" spans="1:13" x14ac:dyDescent="0.3">
      <c r="A242">
        <v>241</v>
      </c>
      <c r="B242" t="s">
        <v>455</v>
      </c>
      <c r="C242" t="s">
        <v>363</v>
      </c>
      <c r="D242">
        <v>230929</v>
      </c>
      <c r="E242" t="s">
        <v>608</v>
      </c>
      <c r="F242" s="6"/>
      <c r="G242" s="6">
        <f t="shared" si="9"/>
        <v>180</v>
      </c>
      <c r="I242" s="6">
        <f t="shared" si="12"/>
        <v>360</v>
      </c>
      <c r="M242" s="6">
        <f t="shared" si="13"/>
        <v>180</v>
      </c>
    </row>
    <row r="243" spans="1:13" x14ac:dyDescent="0.3">
      <c r="A243">
        <v>242</v>
      </c>
      <c r="B243" t="s">
        <v>200</v>
      </c>
      <c r="C243" t="s">
        <v>368</v>
      </c>
      <c r="D243">
        <v>240193</v>
      </c>
      <c r="E243" t="s">
        <v>641</v>
      </c>
      <c r="F243" s="6"/>
      <c r="G243" s="6">
        <f t="shared" si="9"/>
        <v>180</v>
      </c>
      <c r="I243" s="6">
        <f t="shared" si="12"/>
        <v>360</v>
      </c>
      <c r="M243" s="6">
        <f t="shared" si="13"/>
        <v>180</v>
      </c>
    </row>
    <row r="244" spans="1:13" x14ac:dyDescent="0.3">
      <c r="A244">
        <v>243</v>
      </c>
      <c r="B244" t="s">
        <v>456</v>
      </c>
      <c r="C244" t="s">
        <v>341</v>
      </c>
      <c r="D244" t="s">
        <v>341</v>
      </c>
      <c r="E244" t="s">
        <v>608</v>
      </c>
      <c r="F244" s="6"/>
      <c r="G244" s="6">
        <f t="shared" si="9"/>
        <v>180</v>
      </c>
      <c r="I244" s="6">
        <f t="shared" si="12"/>
        <v>360</v>
      </c>
      <c r="M244" s="6">
        <f t="shared" si="13"/>
        <v>180</v>
      </c>
    </row>
    <row r="245" spans="1:13" x14ac:dyDescent="0.3">
      <c r="A245">
        <v>244</v>
      </c>
      <c r="B245" t="s">
        <v>457</v>
      </c>
      <c r="C245" t="s">
        <v>368</v>
      </c>
      <c r="D245">
        <v>240244</v>
      </c>
      <c r="E245" t="s">
        <v>618</v>
      </c>
      <c r="F245" s="6"/>
      <c r="G245" s="6">
        <f t="shared" si="9"/>
        <v>180</v>
      </c>
      <c r="I245" s="6">
        <f t="shared" si="12"/>
        <v>360</v>
      </c>
      <c r="M245" s="6">
        <f t="shared" si="13"/>
        <v>180</v>
      </c>
    </row>
    <row r="246" spans="1:13" x14ac:dyDescent="0.3">
      <c r="A246">
        <v>245</v>
      </c>
      <c r="B246" t="s">
        <v>458</v>
      </c>
      <c r="C246" t="s">
        <v>368</v>
      </c>
      <c r="D246">
        <v>230877</v>
      </c>
      <c r="E246" t="s">
        <v>654</v>
      </c>
      <c r="F246" s="6"/>
      <c r="G246" s="6">
        <f t="shared" si="9"/>
        <v>180</v>
      </c>
      <c r="I246" s="6">
        <f t="shared" si="12"/>
        <v>360</v>
      </c>
      <c r="M246" s="6">
        <f t="shared" si="13"/>
        <v>180</v>
      </c>
    </row>
    <row r="247" spans="1:13" x14ac:dyDescent="0.3">
      <c r="A247">
        <v>246</v>
      </c>
      <c r="B247" t="s">
        <v>459</v>
      </c>
      <c r="C247" t="s">
        <v>388</v>
      </c>
      <c r="D247" t="s">
        <v>547</v>
      </c>
      <c r="E247" t="s">
        <v>627</v>
      </c>
      <c r="F247" s="6"/>
      <c r="G247" s="6">
        <f t="shared" si="9"/>
        <v>180</v>
      </c>
      <c r="I247" s="6">
        <f t="shared" si="12"/>
        <v>360</v>
      </c>
      <c r="M247" s="6">
        <f t="shared" si="13"/>
        <v>180</v>
      </c>
    </row>
    <row r="248" spans="1:13" x14ac:dyDescent="0.3">
      <c r="A248">
        <v>247</v>
      </c>
      <c r="B248" t="s">
        <v>460</v>
      </c>
      <c r="C248" t="s">
        <v>389</v>
      </c>
      <c r="D248" t="s">
        <v>548</v>
      </c>
      <c r="E248" t="s">
        <v>655</v>
      </c>
      <c r="F248" s="6"/>
      <c r="G248" s="6">
        <f t="shared" si="9"/>
        <v>180</v>
      </c>
      <c r="I248" s="6">
        <f t="shared" si="12"/>
        <v>360</v>
      </c>
      <c r="M248" s="6">
        <f t="shared" si="13"/>
        <v>180</v>
      </c>
    </row>
    <row r="249" spans="1:13" x14ac:dyDescent="0.3">
      <c r="A249">
        <v>248</v>
      </c>
      <c r="B249" t="s">
        <v>461</v>
      </c>
      <c r="C249" t="s">
        <v>341</v>
      </c>
      <c r="D249" t="s">
        <v>341</v>
      </c>
      <c r="E249" t="s">
        <v>608</v>
      </c>
      <c r="F249" s="6"/>
      <c r="G249" s="6">
        <f t="shared" si="9"/>
        <v>180</v>
      </c>
      <c r="I249" s="6">
        <f t="shared" si="12"/>
        <v>360</v>
      </c>
      <c r="M249" s="6">
        <f t="shared" si="13"/>
        <v>180</v>
      </c>
    </row>
    <row r="250" spans="1:13" x14ac:dyDescent="0.3">
      <c r="A250">
        <v>249</v>
      </c>
      <c r="B250" t="s">
        <v>462</v>
      </c>
      <c r="C250" t="s">
        <v>388</v>
      </c>
      <c r="D250" t="s">
        <v>549</v>
      </c>
      <c r="E250" t="s">
        <v>625</v>
      </c>
      <c r="F250" s="6"/>
      <c r="G250" s="6">
        <f t="shared" si="9"/>
        <v>180</v>
      </c>
      <c r="I250" s="6">
        <f t="shared" si="12"/>
        <v>360</v>
      </c>
      <c r="M250" s="6">
        <f t="shared" si="13"/>
        <v>180</v>
      </c>
    </row>
    <row r="251" spans="1:13" x14ac:dyDescent="0.3">
      <c r="A251">
        <v>250</v>
      </c>
      <c r="B251" t="s">
        <v>463</v>
      </c>
      <c r="C251" t="s">
        <v>376</v>
      </c>
      <c r="D251" t="s">
        <v>550</v>
      </c>
      <c r="E251" t="s">
        <v>608</v>
      </c>
      <c r="F251" s="6"/>
      <c r="G251" s="6">
        <f t="shared" si="9"/>
        <v>180</v>
      </c>
      <c r="I251" s="6">
        <f t="shared" si="12"/>
        <v>360</v>
      </c>
      <c r="M251" s="6">
        <f t="shared" si="13"/>
        <v>180</v>
      </c>
    </row>
    <row r="252" spans="1:13" x14ac:dyDescent="0.3">
      <c r="A252">
        <v>251</v>
      </c>
      <c r="B252" t="s">
        <v>464</v>
      </c>
      <c r="C252" t="s">
        <v>388</v>
      </c>
      <c r="D252" t="s">
        <v>551</v>
      </c>
      <c r="E252" t="s">
        <v>608</v>
      </c>
      <c r="F252" s="6"/>
      <c r="G252" s="6">
        <f t="shared" si="9"/>
        <v>180</v>
      </c>
      <c r="I252" s="6">
        <f t="shared" si="12"/>
        <v>360</v>
      </c>
      <c r="M252" s="6">
        <f t="shared" si="13"/>
        <v>180</v>
      </c>
    </row>
    <row r="253" spans="1:13" x14ac:dyDescent="0.3">
      <c r="A253">
        <v>252</v>
      </c>
      <c r="B253" t="s">
        <v>465</v>
      </c>
      <c r="C253" t="s">
        <v>388</v>
      </c>
      <c r="D253" t="s">
        <v>552</v>
      </c>
      <c r="E253" t="s">
        <v>627</v>
      </c>
      <c r="F253" s="6"/>
      <c r="G253" s="6">
        <f t="shared" si="9"/>
        <v>180</v>
      </c>
      <c r="I253" s="6">
        <f t="shared" si="12"/>
        <v>360</v>
      </c>
      <c r="M253" s="6">
        <f t="shared" si="13"/>
        <v>180</v>
      </c>
    </row>
    <row r="254" spans="1:13" x14ac:dyDescent="0.3">
      <c r="A254">
        <v>253</v>
      </c>
      <c r="B254" t="s">
        <v>466</v>
      </c>
      <c r="C254" t="s">
        <v>389</v>
      </c>
      <c r="D254" t="s">
        <v>553</v>
      </c>
      <c r="E254" t="s">
        <v>610</v>
      </c>
      <c r="F254" s="6"/>
      <c r="G254" s="6">
        <f t="shared" si="9"/>
        <v>180</v>
      </c>
      <c r="I254" s="6">
        <f t="shared" si="12"/>
        <v>360</v>
      </c>
      <c r="M254" s="6">
        <f t="shared" si="13"/>
        <v>180</v>
      </c>
    </row>
    <row r="255" spans="1:13" x14ac:dyDescent="0.3">
      <c r="A255">
        <v>254</v>
      </c>
      <c r="B255" t="s">
        <v>467</v>
      </c>
      <c r="C255" t="s">
        <v>368</v>
      </c>
      <c r="D255">
        <v>240429</v>
      </c>
      <c r="E255" t="s">
        <v>608</v>
      </c>
      <c r="F255" s="6"/>
      <c r="G255" s="6">
        <f t="shared" si="9"/>
        <v>180</v>
      </c>
      <c r="I255" s="6">
        <f t="shared" si="12"/>
        <v>360</v>
      </c>
      <c r="M255" s="6">
        <f t="shared" si="13"/>
        <v>180</v>
      </c>
    </row>
    <row r="256" spans="1:13" x14ac:dyDescent="0.3">
      <c r="A256">
        <v>255</v>
      </c>
      <c r="B256" t="s">
        <v>468</v>
      </c>
      <c r="C256" t="s">
        <v>368</v>
      </c>
      <c r="D256">
        <v>240056</v>
      </c>
      <c r="E256" t="s">
        <v>646</v>
      </c>
      <c r="F256" s="6"/>
      <c r="G256" s="6">
        <f t="shared" si="9"/>
        <v>180</v>
      </c>
      <c r="I256" s="6">
        <f t="shared" si="12"/>
        <v>360</v>
      </c>
      <c r="M256" s="6">
        <f t="shared" si="13"/>
        <v>180</v>
      </c>
    </row>
    <row r="257" spans="1:13" x14ac:dyDescent="0.3">
      <c r="A257">
        <v>256</v>
      </c>
      <c r="B257" t="s">
        <v>469</v>
      </c>
      <c r="C257" t="s">
        <v>361</v>
      </c>
      <c r="D257" t="s">
        <v>554</v>
      </c>
      <c r="E257" t="s">
        <v>651</v>
      </c>
      <c r="F257" s="6"/>
      <c r="G257" s="6">
        <f t="shared" si="9"/>
        <v>180</v>
      </c>
      <c r="I257" s="6">
        <f t="shared" si="12"/>
        <v>360</v>
      </c>
      <c r="M257" s="6">
        <f t="shared" si="13"/>
        <v>180</v>
      </c>
    </row>
    <row r="258" spans="1:13" x14ac:dyDescent="0.3">
      <c r="A258">
        <v>257</v>
      </c>
      <c r="B258" t="s">
        <v>470</v>
      </c>
      <c r="C258" t="s">
        <v>364</v>
      </c>
      <c r="D258">
        <v>240135</v>
      </c>
      <c r="E258" t="s">
        <v>632</v>
      </c>
      <c r="F258" s="6"/>
      <c r="G258" s="6">
        <f t="shared" ref="G258:G321" si="14">F258+$O$1</f>
        <v>180</v>
      </c>
      <c r="I258" s="6">
        <f t="shared" si="12"/>
        <v>360</v>
      </c>
      <c r="M258" s="6">
        <f t="shared" si="13"/>
        <v>180</v>
      </c>
    </row>
    <row r="259" spans="1:13" x14ac:dyDescent="0.3">
      <c r="A259">
        <v>258</v>
      </c>
      <c r="B259" t="s">
        <v>470</v>
      </c>
      <c r="C259" t="s">
        <v>364</v>
      </c>
      <c r="D259">
        <v>240136</v>
      </c>
      <c r="E259" t="s">
        <v>632</v>
      </c>
      <c r="F259" s="6"/>
      <c r="G259" s="6">
        <f t="shared" si="14"/>
        <v>180</v>
      </c>
      <c r="I259" s="6">
        <f t="shared" si="12"/>
        <v>360</v>
      </c>
      <c r="M259" s="6">
        <f t="shared" si="13"/>
        <v>180</v>
      </c>
    </row>
    <row r="260" spans="1:13" x14ac:dyDescent="0.3">
      <c r="A260">
        <v>259</v>
      </c>
      <c r="B260" t="s">
        <v>471</v>
      </c>
      <c r="C260" t="s">
        <v>364</v>
      </c>
      <c r="D260">
        <v>240373</v>
      </c>
      <c r="E260" t="s">
        <v>608</v>
      </c>
      <c r="F260" s="6"/>
      <c r="G260" s="6">
        <f t="shared" si="14"/>
        <v>180</v>
      </c>
      <c r="I260" s="6">
        <f t="shared" si="12"/>
        <v>360</v>
      </c>
      <c r="M260" s="6">
        <f t="shared" si="13"/>
        <v>180</v>
      </c>
    </row>
    <row r="261" spans="1:13" x14ac:dyDescent="0.3">
      <c r="A261">
        <v>260</v>
      </c>
      <c r="B261" t="s">
        <v>472</v>
      </c>
      <c r="C261" t="s">
        <v>368</v>
      </c>
      <c r="D261">
        <v>240339</v>
      </c>
      <c r="E261" t="s">
        <v>618</v>
      </c>
      <c r="F261" s="6"/>
      <c r="G261" s="6">
        <f t="shared" si="14"/>
        <v>180</v>
      </c>
      <c r="I261" s="6">
        <f t="shared" si="12"/>
        <v>360</v>
      </c>
      <c r="M261" s="6">
        <f t="shared" si="13"/>
        <v>180</v>
      </c>
    </row>
    <row r="262" spans="1:13" x14ac:dyDescent="0.3">
      <c r="A262">
        <v>261</v>
      </c>
      <c r="B262" t="s">
        <v>473</v>
      </c>
      <c r="C262" t="s">
        <v>368</v>
      </c>
      <c r="D262">
        <v>240476</v>
      </c>
      <c r="E262" t="s">
        <v>639</v>
      </c>
      <c r="F262" s="6"/>
      <c r="G262" s="6">
        <f t="shared" si="14"/>
        <v>180</v>
      </c>
      <c r="I262" s="6">
        <f t="shared" si="12"/>
        <v>360</v>
      </c>
      <c r="M262" s="6">
        <f t="shared" si="13"/>
        <v>180</v>
      </c>
    </row>
    <row r="263" spans="1:13" x14ac:dyDescent="0.3">
      <c r="A263">
        <v>262</v>
      </c>
      <c r="B263" t="s">
        <v>474</v>
      </c>
      <c r="C263" t="s">
        <v>368</v>
      </c>
      <c r="D263">
        <v>240475</v>
      </c>
      <c r="E263" t="s">
        <v>608</v>
      </c>
      <c r="F263" s="6"/>
      <c r="G263" s="6">
        <f t="shared" si="14"/>
        <v>180</v>
      </c>
      <c r="I263" s="6">
        <f t="shared" si="12"/>
        <v>360</v>
      </c>
      <c r="M263" s="6">
        <f t="shared" si="13"/>
        <v>180</v>
      </c>
    </row>
    <row r="264" spans="1:13" x14ac:dyDescent="0.3">
      <c r="A264">
        <v>263</v>
      </c>
      <c r="B264" t="s">
        <v>475</v>
      </c>
      <c r="C264" t="s">
        <v>361</v>
      </c>
      <c r="D264" t="s">
        <v>555</v>
      </c>
      <c r="E264" t="s">
        <v>627</v>
      </c>
      <c r="F264" s="6"/>
      <c r="G264" s="6">
        <f t="shared" si="14"/>
        <v>180</v>
      </c>
      <c r="I264" s="6">
        <f t="shared" si="12"/>
        <v>360</v>
      </c>
      <c r="M264" s="6">
        <f t="shared" si="13"/>
        <v>180</v>
      </c>
    </row>
    <row r="265" spans="1:13" x14ac:dyDescent="0.3">
      <c r="A265">
        <v>264</v>
      </c>
      <c r="B265" t="s">
        <v>476</v>
      </c>
      <c r="C265" t="s">
        <v>389</v>
      </c>
      <c r="D265" t="s">
        <v>556</v>
      </c>
      <c r="E265" t="s">
        <v>628</v>
      </c>
      <c r="F265" s="6"/>
      <c r="G265" s="6">
        <f t="shared" si="14"/>
        <v>180</v>
      </c>
      <c r="I265" s="6">
        <f t="shared" si="12"/>
        <v>360</v>
      </c>
      <c r="M265" s="6">
        <f t="shared" si="13"/>
        <v>180</v>
      </c>
    </row>
    <row r="266" spans="1:13" x14ac:dyDescent="0.3">
      <c r="A266">
        <v>265</v>
      </c>
      <c r="B266" t="s">
        <v>477</v>
      </c>
      <c r="C266" t="s">
        <v>389</v>
      </c>
      <c r="D266" t="s">
        <v>557</v>
      </c>
      <c r="E266" t="s">
        <v>611</v>
      </c>
      <c r="F266" s="6"/>
      <c r="G266" s="6">
        <f t="shared" si="14"/>
        <v>180</v>
      </c>
      <c r="I266" s="6">
        <f t="shared" si="12"/>
        <v>360</v>
      </c>
      <c r="M266" s="6">
        <f t="shared" si="13"/>
        <v>180</v>
      </c>
    </row>
    <row r="267" spans="1:13" x14ac:dyDescent="0.3">
      <c r="A267">
        <v>266</v>
      </c>
      <c r="B267" t="s">
        <v>478</v>
      </c>
      <c r="C267" t="s">
        <v>368</v>
      </c>
      <c r="D267">
        <v>240477</v>
      </c>
      <c r="E267" t="s">
        <v>615</v>
      </c>
      <c r="F267" s="6"/>
      <c r="G267" s="6">
        <f t="shared" si="14"/>
        <v>180</v>
      </c>
      <c r="I267" s="6">
        <f t="shared" si="12"/>
        <v>360</v>
      </c>
      <c r="M267" s="6">
        <f t="shared" si="13"/>
        <v>180</v>
      </c>
    </row>
    <row r="268" spans="1:13" x14ac:dyDescent="0.3">
      <c r="A268">
        <v>267</v>
      </c>
      <c r="B268" t="s">
        <v>479</v>
      </c>
      <c r="C268" t="s">
        <v>389</v>
      </c>
      <c r="D268" t="s">
        <v>558</v>
      </c>
      <c r="E268" t="s">
        <v>618</v>
      </c>
      <c r="F268" s="6"/>
      <c r="G268" s="6">
        <f t="shared" si="14"/>
        <v>180</v>
      </c>
      <c r="I268" s="6">
        <f t="shared" si="12"/>
        <v>360</v>
      </c>
      <c r="M268" s="6">
        <f t="shared" si="13"/>
        <v>180</v>
      </c>
    </row>
    <row r="269" spans="1:13" x14ac:dyDescent="0.3">
      <c r="A269">
        <v>268</v>
      </c>
      <c r="B269" t="s">
        <v>480</v>
      </c>
      <c r="C269" t="s">
        <v>532</v>
      </c>
      <c r="D269" t="s">
        <v>559</v>
      </c>
      <c r="E269" t="s">
        <v>617</v>
      </c>
      <c r="F269" s="6"/>
      <c r="G269" s="6">
        <f t="shared" si="14"/>
        <v>180</v>
      </c>
      <c r="I269" s="6">
        <f t="shared" si="12"/>
        <v>360</v>
      </c>
      <c r="M269" s="6">
        <f t="shared" si="13"/>
        <v>180</v>
      </c>
    </row>
    <row r="270" spans="1:13" x14ac:dyDescent="0.3">
      <c r="A270">
        <v>269</v>
      </c>
      <c r="B270" t="s">
        <v>481</v>
      </c>
      <c r="C270" t="s">
        <v>368</v>
      </c>
      <c r="D270">
        <v>240432</v>
      </c>
      <c r="E270" t="s">
        <v>615</v>
      </c>
      <c r="F270" s="6"/>
      <c r="G270" s="6">
        <f t="shared" si="14"/>
        <v>180</v>
      </c>
      <c r="I270" s="6">
        <f t="shared" si="12"/>
        <v>360</v>
      </c>
      <c r="M270" s="6">
        <f t="shared" si="13"/>
        <v>180</v>
      </c>
    </row>
    <row r="271" spans="1:13" x14ac:dyDescent="0.3">
      <c r="A271">
        <v>270</v>
      </c>
      <c r="B271" t="s">
        <v>482</v>
      </c>
      <c r="C271" t="s">
        <v>341</v>
      </c>
      <c r="D271" t="s">
        <v>341</v>
      </c>
      <c r="E271" t="s">
        <v>617</v>
      </c>
      <c r="F271" s="6"/>
      <c r="G271" s="6">
        <f t="shared" si="14"/>
        <v>180</v>
      </c>
      <c r="I271" s="6">
        <f t="shared" si="12"/>
        <v>360</v>
      </c>
      <c r="M271" s="6">
        <f t="shared" si="13"/>
        <v>180</v>
      </c>
    </row>
    <row r="272" spans="1:13" x14ac:dyDescent="0.3">
      <c r="A272">
        <v>271</v>
      </c>
      <c r="B272" t="s">
        <v>483</v>
      </c>
      <c r="C272" t="s">
        <v>388</v>
      </c>
      <c r="D272" t="s">
        <v>560</v>
      </c>
      <c r="E272" t="s">
        <v>617</v>
      </c>
      <c r="F272" s="6"/>
      <c r="G272" s="6">
        <f t="shared" si="14"/>
        <v>180</v>
      </c>
      <c r="I272" s="6">
        <f t="shared" si="12"/>
        <v>360</v>
      </c>
      <c r="M272" s="6">
        <f t="shared" si="13"/>
        <v>180</v>
      </c>
    </row>
    <row r="273" spans="1:13" x14ac:dyDescent="0.3">
      <c r="A273">
        <v>272</v>
      </c>
      <c r="B273" t="s">
        <v>484</v>
      </c>
      <c r="C273" t="s">
        <v>388</v>
      </c>
      <c r="D273" t="s">
        <v>561</v>
      </c>
      <c r="E273" t="s">
        <v>608</v>
      </c>
      <c r="F273" s="6"/>
      <c r="G273" s="6">
        <f t="shared" si="14"/>
        <v>180</v>
      </c>
      <c r="I273" s="6">
        <f t="shared" si="12"/>
        <v>360</v>
      </c>
      <c r="M273" s="6">
        <f t="shared" si="13"/>
        <v>180</v>
      </c>
    </row>
    <row r="274" spans="1:13" x14ac:dyDescent="0.3">
      <c r="A274">
        <v>273</v>
      </c>
      <c r="B274" t="s">
        <v>485</v>
      </c>
      <c r="C274" t="s">
        <v>388</v>
      </c>
      <c r="D274" t="s">
        <v>562</v>
      </c>
      <c r="E274" t="s">
        <v>653</v>
      </c>
      <c r="F274" s="6"/>
      <c r="G274" s="6">
        <f t="shared" si="14"/>
        <v>180</v>
      </c>
      <c r="I274" s="6">
        <f t="shared" si="12"/>
        <v>360</v>
      </c>
      <c r="M274" s="6">
        <f t="shared" si="13"/>
        <v>180</v>
      </c>
    </row>
    <row r="275" spans="1:13" x14ac:dyDescent="0.3">
      <c r="A275">
        <v>274</v>
      </c>
      <c r="B275" t="s">
        <v>486</v>
      </c>
      <c r="C275" t="s">
        <v>388</v>
      </c>
      <c r="D275" t="s">
        <v>563</v>
      </c>
      <c r="E275" t="s">
        <v>610</v>
      </c>
      <c r="F275" s="6"/>
      <c r="G275" s="6">
        <f t="shared" si="14"/>
        <v>180</v>
      </c>
      <c r="I275" s="6">
        <f t="shared" si="12"/>
        <v>360</v>
      </c>
      <c r="M275" s="6">
        <f t="shared" si="13"/>
        <v>180</v>
      </c>
    </row>
    <row r="276" spans="1:13" x14ac:dyDescent="0.3">
      <c r="A276">
        <v>275</v>
      </c>
      <c r="B276" t="s">
        <v>487</v>
      </c>
      <c r="C276" t="s">
        <v>364</v>
      </c>
      <c r="D276">
        <v>240380</v>
      </c>
      <c r="E276" t="s">
        <v>610</v>
      </c>
      <c r="F276" s="6"/>
      <c r="G276" s="6">
        <f t="shared" si="14"/>
        <v>180</v>
      </c>
      <c r="I276" s="6">
        <f t="shared" si="12"/>
        <v>360</v>
      </c>
      <c r="M276" s="6">
        <f t="shared" si="13"/>
        <v>180</v>
      </c>
    </row>
    <row r="277" spans="1:13" x14ac:dyDescent="0.3">
      <c r="A277">
        <v>276</v>
      </c>
      <c r="B277" t="s">
        <v>488</v>
      </c>
      <c r="C277" t="s">
        <v>368</v>
      </c>
      <c r="D277">
        <v>240526</v>
      </c>
      <c r="E277" t="s">
        <v>656</v>
      </c>
      <c r="F277" s="6"/>
      <c r="G277" s="6">
        <f t="shared" si="14"/>
        <v>180</v>
      </c>
      <c r="I277" s="6">
        <f t="shared" si="12"/>
        <v>360</v>
      </c>
      <c r="M277" s="6">
        <f t="shared" si="13"/>
        <v>180</v>
      </c>
    </row>
    <row r="278" spans="1:13" x14ac:dyDescent="0.3">
      <c r="A278">
        <v>277</v>
      </c>
      <c r="B278" t="s">
        <v>489</v>
      </c>
      <c r="C278" t="s">
        <v>388</v>
      </c>
      <c r="D278" t="s">
        <v>564</v>
      </c>
      <c r="E278" t="s">
        <v>615</v>
      </c>
      <c r="F278" s="6"/>
      <c r="G278" s="6">
        <f t="shared" si="14"/>
        <v>180</v>
      </c>
      <c r="I278" s="6">
        <f t="shared" ref="I278:I341" si="15">G278+$O$1</f>
        <v>360</v>
      </c>
      <c r="M278" s="6">
        <f t="shared" ref="M278:M322" si="16">IF(H278="Done",IF(J278="Done",IF(L278="Done","-",K278),I278),G278)</f>
        <v>180</v>
      </c>
    </row>
    <row r="279" spans="1:13" x14ac:dyDescent="0.3">
      <c r="A279">
        <v>278</v>
      </c>
      <c r="B279" t="s">
        <v>490</v>
      </c>
      <c r="C279" t="s">
        <v>388</v>
      </c>
      <c r="D279" t="s">
        <v>565</v>
      </c>
      <c r="E279" t="s">
        <v>615</v>
      </c>
      <c r="F279" s="6"/>
      <c r="G279" s="6">
        <f t="shared" si="14"/>
        <v>180</v>
      </c>
      <c r="I279" s="6">
        <f t="shared" si="15"/>
        <v>360</v>
      </c>
      <c r="M279" s="6">
        <f t="shared" si="16"/>
        <v>180</v>
      </c>
    </row>
    <row r="280" spans="1:13" x14ac:dyDescent="0.3">
      <c r="A280">
        <v>279</v>
      </c>
      <c r="B280" t="s">
        <v>491</v>
      </c>
      <c r="C280" t="s">
        <v>341</v>
      </c>
      <c r="D280" t="s">
        <v>566</v>
      </c>
      <c r="E280" t="s">
        <v>613</v>
      </c>
      <c r="F280" s="6"/>
      <c r="G280" s="6">
        <f t="shared" si="14"/>
        <v>180</v>
      </c>
      <c r="I280" s="6">
        <f t="shared" si="15"/>
        <v>360</v>
      </c>
      <c r="M280" s="6">
        <f t="shared" si="16"/>
        <v>180</v>
      </c>
    </row>
    <row r="281" spans="1:13" x14ac:dyDescent="0.3">
      <c r="A281">
        <v>280</v>
      </c>
      <c r="B281" t="s">
        <v>492</v>
      </c>
      <c r="C281" t="s">
        <v>389</v>
      </c>
      <c r="D281" t="s">
        <v>567</v>
      </c>
      <c r="E281" t="s">
        <v>615</v>
      </c>
      <c r="F281" s="6"/>
      <c r="G281" s="6">
        <f t="shared" si="14"/>
        <v>180</v>
      </c>
      <c r="I281" s="6">
        <f t="shared" si="15"/>
        <v>360</v>
      </c>
      <c r="M281" s="6">
        <f t="shared" si="16"/>
        <v>180</v>
      </c>
    </row>
    <row r="282" spans="1:13" x14ac:dyDescent="0.3">
      <c r="A282">
        <v>281</v>
      </c>
      <c r="B282" t="s">
        <v>493</v>
      </c>
      <c r="C282" t="s">
        <v>389</v>
      </c>
      <c r="D282" t="s">
        <v>568</v>
      </c>
      <c r="E282" t="s">
        <v>608</v>
      </c>
      <c r="F282" s="6"/>
      <c r="G282" s="6">
        <f t="shared" si="14"/>
        <v>180</v>
      </c>
      <c r="I282" s="6">
        <f t="shared" si="15"/>
        <v>360</v>
      </c>
      <c r="M282" s="6">
        <f t="shared" si="16"/>
        <v>180</v>
      </c>
    </row>
    <row r="283" spans="1:13" x14ac:dyDescent="0.3">
      <c r="A283">
        <v>282</v>
      </c>
      <c r="B283" t="s">
        <v>494</v>
      </c>
      <c r="C283" t="s">
        <v>388</v>
      </c>
      <c r="D283" t="s">
        <v>569</v>
      </c>
      <c r="E283" t="s">
        <v>608</v>
      </c>
      <c r="F283" s="6"/>
      <c r="G283" s="6">
        <f t="shared" si="14"/>
        <v>180</v>
      </c>
      <c r="I283" s="6">
        <f t="shared" si="15"/>
        <v>360</v>
      </c>
      <c r="M283" s="6">
        <f t="shared" si="16"/>
        <v>180</v>
      </c>
    </row>
    <row r="284" spans="1:13" x14ac:dyDescent="0.3">
      <c r="A284">
        <v>283</v>
      </c>
      <c r="B284" t="s">
        <v>495</v>
      </c>
      <c r="C284" t="s">
        <v>368</v>
      </c>
      <c r="D284">
        <v>240538</v>
      </c>
      <c r="E284" t="s">
        <v>612</v>
      </c>
      <c r="F284" s="6"/>
      <c r="G284" s="6">
        <f t="shared" si="14"/>
        <v>180</v>
      </c>
      <c r="I284" s="6">
        <f t="shared" si="15"/>
        <v>360</v>
      </c>
      <c r="M284" s="6">
        <f t="shared" si="16"/>
        <v>180</v>
      </c>
    </row>
    <row r="285" spans="1:13" x14ac:dyDescent="0.3">
      <c r="A285">
        <v>284</v>
      </c>
      <c r="B285" t="s">
        <v>496</v>
      </c>
      <c r="C285" t="s">
        <v>368</v>
      </c>
      <c r="D285">
        <v>240528</v>
      </c>
      <c r="E285" t="s">
        <v>617</v>
      </c>
      <c r="F285" s="6"/>
      <c r="G285" s="6">
        <f t="shared" si="14"/>
        <v>180</v>
      </c>
      <c r="I285" s="6">
        <f t="shared" si="15"/>
        <v>360</v>
      </c>
      <c r="M285" s="6">
        <f t="shared" si="16"/>
        <v>180</v>
      </c>
    </row>
    <row r="286" spans="1:13" x14ac:dyDescent="0.3">
      <c r="A286">
        <v>285</v>
      </c>
      <c r="B286" t="s">
        <v>497</v>
      </c>
      <c r="C286" t="s">
        <v>388</v>
      </c>
      <c r="D286" t="s">
        <v>570</v>
      </c>
      <c r="E286" t="s">
        <v>617</v>
      </c>
      <c r="F286" s="6"/>
      <c r="G286" s="6">
        <f t="shared" si="14"/>
        <v>180</v>
      </c>
      <c r="I286" s="6">
        <f t="shared" si="15"/>
        <v>360</v>
      </c>
      <c r="M286" s="6">
        <f t="shared" si="16"/>
        <v>180</v>
      </c>
    </row>
    <row r="287" spans="1:13" x14ac:dyDescent="0.3">
      <c r="A287">
        <v>286</v>
      </c>
      <c r="B287" t="s">
        <v>498</v>
      </c>
      <c r="C287" t="s">
        <v>388</v>
      </c>
      <c r="D287" t="s">
        <v>571</v>
      </c>
      <c r="E287" t="s">
        <v>610</v>
      </c>
      <c r="F287" s="6"/>
      <c r="G287" s="6">
        <f t="shared" si="14"/>
        <v>180</v>
      </c>
      <c r="I287" s="6">
        <f t="shared" si="15"/>
        <v>360</v>
      </c>
      <c r="M287" s="6">
        <f t="shared" si="16"/>
        <v>180</v>
      </c>
    </row>
    <row r="288" spans="1:13" x14ac:dyDescent="0.3">
      <c r="A288">
        <v>287</v>
      </c>
      <c r="B288" t="s">
        <v>499</v>
      </c>
      <c r="C288" t="s">
        <v>388</v>
      </c>
      <c r="D288" t="s">
        <v>572</v>
      </c>
      <c r="E288" t="s">
        <v>611</v>
      </c>
      <c r="F288" s="6"/>
      <c r="G288" s="6">
        <f t="shared" si="14"/>
        <v>180</v>
      </c>
      <c r="I288" s="6">
        <f t="shared" si="15"/>
        <v>360</v>
      </c>
      <c r="M288" s="6">
        <f t="shared" si="16"/>
        <v>180</v>
      </c>
    </row>
    <row r="289" spans="1:13" x14ac:dyDescent="0.3">
      <c r="A289">
        <v>288</v>
      </c>
      <c r="B289" t="s">
        <v>500</v>
      </c>
      <c r="C289" t="s">
        <v>341</v>
      </c>
      <c r="D289" t="s">
        <v>573</v>
      </c>
      <c r="E289" t="s">
        <v>657</v>
      </c>
      <c r="F289" s="6"/>
      <c r="G289" s="6">
        <f t="shared" si="14"/>
        <v>180</v>
      </c>
      <c r="I289" s="6">
        <f t="shared" si="15"/>
        <v>360</v>
      </c>
      <c r="M289" s="6">
        <f t="shared" si="16"/>
        <v>180</v>
      </c>
    </row>
    <row r="290" spans="1:13" x14ac:dyDescent="0.3">
      <c r="A290">
        <v>289</v>
      </c>
      <c r="B290" t="s">
        <v>501</v>
      </c>
      <c r="C290" t="s">
        <v>388</v>
      </c>
      <c r="D290" t="s">
        <v>574</v>
      </c>
      <c r="E290" t="s">
        <v>608</v>
      </c>
      <c r="F290" s="6"/>
      <c r="G290" s="6">
        <f t="shared" si="14"/>
        <v>180</v>
      </c>
      <c r="I290" s="6">
        <f t="shared" si="15"/>
        <v>360</v>
      </c>
      <c r="M290" s="6">
        <f t="shared" si="16"/>
        <v>180</v>
      </c>
    </row>
    <row r="291" spans="1:13" x14ac:dyDescent="0.3">
      <c r="A291">
        <v>290</v>
      </c>
      <c r="B291" t="s">
        <v>502</v>
      </c>
      <c r="C291" t="s">
        <v>533</v>
      </c>
      <c r="D291">
        <v>230633</v>
      </c>
      <c r="E291" t="s">
        <v>608</v>
      </c>
      <c r="F291" s="6"/>
      <c r="G291" s="6">
        <f t="shared" si="14"/>
        <v>180</v>
      </c>
      <c r="I291" s="6">
        <f t="shared" si="15"/>
        <v>360</v>
      </c>
      <c r="M291" s="6">
        <f t="shared" si="16"/>
        <v>180</v>
      </c>
    </row>
    <row r="292" spans="1:13" x14ac:dyDescent="0.3">
      <c r="A292">
        <v>291</v>
      </c>
      <c r="B292" t="s">
        <v>503</v>
      </c>
      <c r="C292" t="s">
        <v>341</v>
      </c>
      <c r="D292" t="s">
        <v>341</v>
      </c>
      <c r="E292" t="s">
        <v>608</v>
      </c>
      <c r="F292" s="6"/>
      <c r="G292" s="6">
        <f t="shared" si="14"/>
        <v>180</v>
      </c>
      <c r="I292" s="6">
        <f t="shared" si="15"/>
        <v>360</v>
      </c>
      <c r="M292" s="6">
        <f t="shared" si="16"/>
        <v>180</v>
      </c>
    </row>
    <row r="293" spans="1:13" x14ac:dyDescent="0.3">
      <c r="A293">
        <v>292</v>
      </c>
      <c r="B293" t="s">
        <v>504</v>
      </c>
      <c r="C293" t="s">
        <v>368</v>
      </c>
      <c r="D293">
        <v>240539</v>
      </c>
      <c r="E293" t="s">
        <v>615</v>
      </c>
      <c r="F293" s="6"/>
      <c r="G293" s="6">
        <f t="shared" si="14"/>
        <v>180</v>
      </c>
      <c r="I293" s="6">
        <f t="shared" si="15"/>
        <v>360</v>
      </c>
      <c r="M293" s="6">
        <f t="shared" si="16"/>
        <v>180</v>
      </c>
    </row>
    <row r="294" spans="1:13" x14ac:dyDescent="0.3">
      <c r="A294">
        <v>293</v>
      </c>
      <c r="B294" t="s">
        <v>505</v>
      </c>
      <c r="C294" t="s">
        <v>388</v>
      </c>
      <c r="D294" t="s">
        <v>575</v>
      </c>
      <c r="E294" t="s">
        <v>610</v>
      </c>
      <c r="F294" s="6"/>
      <c r="G294" s="6">
        <f t="shared" si="14"/>
        <v>180</v>
      </c>
      <c r="I294" s="6">
        <f t="shared" si="15"/>
        <v>360</v>
      </c>
      <c r="M294" s="6">
        <f t="shared" si="16"/>
        <v>180</v>
      </c>
    </row>
    <row r="295" spans="1:13" x14ac:dyDescent="0.3">
      <c r="A295">
        <v>294</v>
      </c>
      <c r="B295" t="s">
        <v>506</v>
      </c>
      <c r="C295" t="s">
        <v>341</v>
      </c>
      <c r="D295" t="s">
        <v>576</v>
      </c>
      <c r="E295" t="s">
        <v>611</v>
      </c>
      <c r="F295" s="6"/>
      <c r="G295" s="6">
        <f t="shared" si="14"/>
        <v>180</v>
      </c>
      <c r="I295" s="6">
        <f t="shared" si="15"/>
        <v>360</v>
      </c>
      <c r="M295" s="6">
        <f t="shared" si="16"/>
        <v>180</v>
      </c>
    </row>
    <row r="296" spans="1:13" x14ac:dyDescent="0.3">
      <c r="A296">
        <v>295</v>
      </c>
      <c r="B296" t="s">
        <v>507</v>
      </c>
      <c r="C296" t="s">
        <v>389</v>
      </c>
      <c r="D296" t="s">
        <v>577</v>
      </c>
      <c r="E296" t="s">
        <v>628</v>
      </c>
      <c r="F296" s="6"/>
      <c r="G296" s="6">
        <f t="shared" si="14"/>
        <v>180</v>
      </c>
      <c r="I296" s="6">
        <f t="shared" si="15"/>
        <v>360</v>
      </c>
      <c r="M296" s="6">
        <f t="shared" si="16"/>
        <v>180</v>
      </c>
    </row>
    <row r="297" spans="1:13" x14ac:dyDescent="0.3">
      <c r="A297">
        <v>296</v>
      </c>
      <c r="B297" t="s">
        <v>508</v>
      </c>
      <c r="C297" t="s">
        <v>388</v>
      </c>
      <c r="D297" t="s">
        <v>578</v>
      </c>
      <c r="E297" t="s">
        <v>651</v>
      </c>
      <c r="F297" s="6"/>
      <c r="G297" s="6">
        <f t="shared" si="14"/>
        <v>180</v>
      </c>
      <c r="I297" s="6">
        <f t="shared" si="15"/>
        <v>360</v>
      </c>
      <c r="M297" s="6">
        <f t="shared" si="16"/>
        <v>180</v>
      </c>
    </row>
    <row r="298" spans="1:13" x14ac:dyDescent="0.3">
      <c r="A298">
        <v>297</v>
      </c>
      <c r="B298" t="s">
        <v>509</v>
      </c>
      <c r="C298" t="s">
        <v>363</v>
      </c>
      <c r="D298">
        <v>240434</v>
      </c>
      <c r="E298" t="s">
        <v>617</v>
      </c>
      <c r="F298" s="6"/>
      <c r="G298" s="6">
        <f t="shared" si="14"/>
        <v>180</v>
      </c>
      <c r="I298" s="6">
        <f t="shared" si="15"/>
        <v>360</v>
      </c>
      <c r="M298" s="6">
        <f t="shared" si="16"/>
        <v>180</v>
      </c>
    </row>
    <row r="299" spans="1:13" x14ac:dyDescent="0.3">
      <c r="A299">
        <v>298</v>
      </c>
      <c r="B299" t="s">
        <v>510</v>
      </c>
      <c r="C299" t="s">
        <v>388</v>
      </c>
      <c r="D299" t="s">
        <v>579</v>
      </c>
      <c r="E299" t="s">
        <v>610</v>
      </c>
      <c r="F299" s="6"/>
      <c r="G299" s="6">
        <f t="shared" si="14"/>
        <v>180</v>
      </c>
      <c r="I299" s="6">
        <f t="shared" si="15"/>
        <v>360</v>
      </c>
      <c r="M299" s="6">
        <f t="shared" si="16"/>
        <v>180</v>
      </c>
    </row>
    <row r="300" spans="1:13" x14ac:dyDescent="0.3">
      <c r="A300">
        <v>299</v>
      </c>
      <c r="B300" t="s">
        <v>511</v>
      </c>
      <c r="C300" t="s">
        <v>389</v>
      </c>
      <c r="D300" t="s">
        <v>580</v>
      </c>
      <c r="E300" t="s">
        <v>610</v>
      </c>
      <c r="F300" s="6"/>
      <c r="G300" s="6">
        <f t="shared" si="14"/>
        <v>180</v>
      </c>
      <c r="I300" s="6">
        <f t="shared" si="15"/>
        <v>360</v>
      </c>
      <c r="M300" s="6">
        <f t="shared" si="16"/>
        <v>180</v>
      </c>
    </row>
    <row r="301" spans="1:13" x14ac:dyDescent="0.3">
      <c r="A301">
        <v>300</v>
      </c>
      <c r="B301" t="s">
        <v>512</v>
      </c>
      <c r="C301" t="s">
        <v>364</v>
      </c>
      <c r="D301">
        <v>240608</v>
      </c>
      <c r="E301" t="s">
        <v>632</v>
      </c>
      <c r="F301" s="6"/>
      <c r="G301" s="6">
        <f t="shared" si="14"/>
        <v>180</v>
      </c>
      <c r="I301" s="6">
        <f t="shared" si="15"/>
        <v>360</v>
      </c>
      <c r="M301" s="6">
        <f t="shared" si="16"/>
        <v>180</v>
      </c>
    </row>
    <row r="302" spans="1:13" x14ac:dyDescent="0.3">
      <c r="A302">
        <v>301</v>
      </c>
      <c r="B302" t="s">
        <v>513</v>
      </c>
      <c r="C302" t="s">
        <v>388</v>
      </c>
      <c r="D302" t="s">
        <v>581</v>
      </c>
      <c r="E302" t="s">
        <v>610</v>
      </c>
      <c r="F302" s="6"/>
      <c r="G302" s="6">
        <f t="shared" si="14"/>
        <v>180</v>
      </c>
      <c r="I302" s="6">
        <f t="shared" si="15"/>
        <v>360</v>
      </c>
      <c r="M302" s="6">
        <f t="shared" si="16"/>
        <v>180</v>
      </c>
    </row>
    <row r="303" spans="1:13" x14ac:dyDescent="0.3">
      <c r="A303">
        <v>302</v>
      </c>
      <c r="B303" t="s">
        <v>514</v>
      </c>
      <c r="C303" t="s">
        <v>368</v>
      </c>
      <c r="D303">
        <v>240636</v>
      </c>
      <c r="E303" t="s">
        <v>611</v>
      </c>
      <c r="F303" s="6"/>
      <c r="G303" s="6">
        <f t="shared" si="14"/>
        <v>180</v>
      </c>
      <c r="I303" s="6">
        <f t="shared" si="15"/>
        <v>360</v>
      </c>
      <c r="M303" s="6">
        <f t="shared" si="16"/>
        <v>180</v>
      </c>
    </row>
    <row r="304" spans="1:13" x14ac:dyDescent="0.3">
      <c r="A304">
        <v>303</v>
      </c>
      <c r="B304" t="s">
        <v>515</v>
      </c>
      <c r="C304" t="s">
        <v>389</v>
      </c>
      <c r="D304" t="s">
        <v>582</v>
      </c>
      <c r="E304" t="s">
        <v>639</v>
      </c>
      <c r="F304" s="6"/>
      <c r="G304" s="6">
        <f t="shared" si="14"/>
        <v>180</v>
      </c>
      <c r="I304" s="6">
        <f t="shared" si="15"/>
        <v>360</v>
      </c>
      <c r="M304" s="6">
        <f t="shared" si="16"/>
        <v>180</v>
      </c>
    </row>
    <row r="305" spans="1:13" x14ac:dyDescent="0.3">
      <c r="A305">
        <v>304</v>
      </c>
      <c r="B305" t="s">
        <v>516</v>
      </c>
      <c r="C305" t="s">
        <v>341</v>
      </c>
      <c r="D305" t="s">
        <v>583</v>
      </c>
      <c r="E305" t="s">
        <v>611</v>
      </c>
      <c r="F305" s="6"/>
      <c r="G305" s="6">
        <f t="shared" si="14"/>
        <v>180</v>
      </c>
      <c r="I305" s="6">
        <f t="shared" si="15"/>
        <v>360</v>
      </c>
      <c r="M305" s="6">
        <f t="shared" si="16"/>
        <v>180</v>
      </c>
    </row>
    <row r="306" spans="1:13" x14ac:dyDescent="0.3">
      <c r="A306">
        <v>305</v>
      </c>
      <c r="B306" t="s">
        <v>517</v>
      </c>
      <c r="C306" t="s">
        <v>367</v>
      </c>
      <c r="D306" t="s">
        <v>584</v>
      </c>
      <c r="E306" t="s">
        <v>617</v>
      </c>
      <c r="F306" s="6"/>
      <c r="G306" s="6">
        <f t="shared" si="14"/>
        <v>180</v>
      </c>
      <c r="I306" s="6">
        <f t="shared" si="15"/>
        <v>360</v>
      </c>
      <c r="M306" s="6">
        <f t="shared" si="16"/>
        <v>180</v>
      </c>
    </row>
    <row r="307" spans="1:13" x14ac:dyDescent="0.3">
      <c r="A307">
        <v>306</v>
      </c>
      <c r="B307" t="s">
        <v>518</v>
      </c>
      <c r="C307" t="s">
        <v>388</v>
      </c>
      <c r="D307" t="s">
        <v>585</v>
      </c>
      <c r="E307" t="s">
        <v>608</v>
      </c>
      <c r="F307" s="6"/>
      <c r="G307" s="6">
        <f t="shared" si="14"/>
        <v>180</v>
      </c>
      <c r="I307" s="6">
        <f t="shared" si="15"/>
        <v>360</v>
      </c>
      <c r="M307" s="6">
        <f t="shared" si="16"/>
        <v>180</v>
      </c>
    </row>
    <row r="308" spans="1:13" x14ac:dyDescent="0.3">
      <c r="A308">
        <v>307</v>
      </c>
      <c r="B308" t="s">
        <v>519</v>
      </c>
      <c r="C308" t="s">
        <v>388</v>
      </c>
      <c r="D308" t="s">
        <v>586</v>
      </c>
      <c r="E308" t="s">
        <v>618</v>
      </c>
      <c r="F308" s="6"/>
      <c r="G308" s="6">
        <f t="shared" si="14"/>
        <v>180</v>
      </c>
      <c r="I308" s="6">
        <f t="shared" si="15"/>
        <v>360</v>
      </c>
      <c r="M308" s="6">
        <f t="shared" si="16"/>
        <v>180</v>
      </c>
    </row>
    <row r="309" spans="1:13" x14ac:dyDescent="0.3">
      <c r="A309">
        <v>308</v>
      </c>
      <c r="B309" t="s">
        <v>520</v>
      </c>
      <c r="C309" t="s">
        <v>368</v>
      </c>
      <c r="D309">
        <v>240760</v>
      </c>
      <c r="E309" t="s">
        <v>615</v>
      </c>
      <c r="F309" s="6"/>
      <c r="G309" s="6">
        <f t="shared" si="14"/>
        <v>180</v>
      </c>
      <c r="I309" s="6">
        <f t="shared" si="15"/>
        <v>360</v>
      </c>
      <c r="M309" s="6">
        <f t="shared" si="16"/>
        <v>180</v>
      </c>
    </row>
    <row r="310" spans="1:13" x14ac:dyDescent="0.3">
      <c r="A310">
        <v>309</v>
      </c>
      <c r="B310" t="s">
        <v>521</v>
      </c>
      <c r="C310" t="s">
        <v>388</v>
      </c>
      <c r="D310" t="s">
        <v>587</v>
      </c>
      <c r="E310" t="s">
        <v>610</v>
      </c>
      <c r="F310" s="6"/>
      <c r="G310" s="6">
        <f t="shared" si="14"/>
        <v>180</v>
      </c>
      <c r="I310" s="6">
        <f t="shared" si="15"/>
        <v>360</v>
      </c>
      <c r="M310" s="6">
        <f t="shared" si="16"/>
        <v>180</v>
      </c>
    </row>
    <row r="311" spans="1:13" x14ac:dyDescent="0.3">
      <c r="A311">
        <v>310</v>
      </c>
      <c r="B311" t="s">
        <v>522</v>
      </c>
      <c r="C311" t="s">
        <v>361</v>
      </c>
      <c r="D311" t="s">
        <v>588</v>
      </c>
      <c r="E311" t="s">
        <v>608</v>
      </c>
      <c r="F311" s="6"/>
      <c r="G311" s="6">
        <f t="shared" si="14"/>
        <v>180</v>
      </c>
      <c r="I311" s="6">
        <f t="shared" si="15"/>
        <v>360</v>
      </c>
      <c r="M311" s="6">
        <f t="shared" si="16"/>
        <v>180</v>
      </c>
    </row>
    <row r="312" spans="1:13" x14ac:dyDescent="0.3">
      <c r="A312">
        <v>311</v>
      </c>
      <c r="B312" t="s">
        <v>523</v>
      </c>
      <c r="C312" t="s">
        <v>341</v>
      </c>
      <c r="D312" t="s">
        <v>589</v>
      </c>
      <c r="E312" t="s">
        <v>610</v>
      </c>
      <c r="F312" s="6"/>
      <c r="G312" s="6">
        <f t="shared" si="14"/>
        <v>180</v>
      </c>
      <c r="I312" s="6">
        <f t="shared" si="15"/>
        <v>360</v>
      </c>
      <c r="M312" s="6">
        <f t="shared" si="16"/>
        <v>180</v>
      </c>
    </row>
    <row r="313" spans="1:13" x14ac:dyDescent="0.3">
      <c r="A313">
        <v>312</v>
      </c>
      <c r="B313" t="s">
        <v>524</v>
      </c>
      <c r="C313" t="s">
        <v>364</v>
      </c>
      <c r="D313">
        <v>240737</v>
      </c>
      <c r="E313" t="s">
        <v>627</v>
      </c>
      <c r="F313" s="6"/>
      <c r="G313" s="6">
        <f t="shared" si="14"/>
        <v>180</v>
      </c>
      <c r="I313" s="6">
        <f t="shared" si="15"/>
        <v>360</v>
      </c>
      <c r="M313" s="6">
        <f t="shared" si="16"/>
        <v>180</v>
      </c>
    </row>
    <row r="314" spans="1:13" x14ac:dyDescent="0.3">
      <c r="A314">
        <v>313</v>
      </c>
      <c r="B314" t="s">
        <v>525</v>
      </c>
      <c r="C314" t="s">
        <v>389</v>
      </c>
      <c r="D314" t="s">
        <v>590</v>
      </c>
      <c r="E314" t="s">
        <v>658</v>
      </c>
      <c r="F314" s="6"/>
      <c r="G314" s="6">
        <f t="shared" si="14"/>
        <v>180</v>
      </c>
      <c r="I314" s="6">
        <f t="shared" si="15"/>
        <v>360</v>
      </c>
      <c r="M314" s="6">
        <f t="shared" si="16"/>
        <v>180</v>
      </c>
    </row>
    <row r="315" spans="1:13" x14ac:dyDescent="0.3">
      <c r="A315">
        <v>314</v>
      </c>
      <c r="B315" t="s">
        <v>526</v>
      </c>
      <c r="C315" t="s">
        <v>388</v>
      </c>
      <c r="D315" t="s">
        <v>591</v>
      </c>
      <c r="E315" t="s">
        <v>617</v>
      </c>
      <c r="F315" s="6"/>
      <c r="G315" s="6">
        <f t="shared" si="14"/>
        <v>180</v>
      </c>
      <c r="I315" s="6">
        <f t="shared" si="15"/>
        <v>360</v>
      </c>
      <c r="M315" s="6">
        <f t="shared" si="16"/>
        <v>180</v>
      </c>
    </row>
    <row r="316" spans="1:13" x14ac:dyDescent="0.3">
      <c r="A316">
        <v>315</v>
      </c>
      <c r="B316" t="s">
        <v>527</v>
      </c>
      <c r="C316" t="s">
        <v>389</v>
      </c>
      <c r="D316" t="s">
        <v>592</v>
      </c>
      <c r="E316" t="s">
        <v>610</v>
      </c>
      <c r="F316" s="6"/>
      <c r="G316" s="6">
        <f t="shared" si="14"/>
        <v>180</v>
      </c>
      <c r="I316" s="6">
        <f t="shared" si="15"/>
        <v>360</v>
      </c>
      <c r="M316" s="6">
        <f t="shared" si="16"/>
        <v>180</v>
      </c>
    </row>
    <row r="317" spans="1:13" x14ac:dyDescent="0.3">
      <c r="A317">
        <v>316</v>
      </c>
      <c r="B317" t="s">
        <v>528</v>
      </c>
      <c r="C317" t="s">
        <v>368</v>
      </c>
      <c r="D317" t="s">
        <v>593</v>
      </c>
      <c r="E317" t="s">
        <v>615</v>
      </c>
      <c r="F317" s="6"/>
      <c r="G317" s="6">
        <f t="shared" si="14"/>
        <v>180</v>
      </c>
      <c r="I317" s="6">
        <f t="shared" si="15"/>
        <v>360</v>
      </c>
      <c r="M317" s="6">
        <f t="shared" si="16"/>
        <v>180</v>
      </c>
    </row>
    <row r="318" spans="1:13" x14ac:dyDescent="0.3">
      <c r="A318">
        <v>317</v>
      </c>
      <c r="B318" t="s">
        <v>529</v>
      </c>
      <c r="C318" t="s">
        <v>364</v>
      </c>
      <c r="D318">
        <v>240735</v>
      </c>
      <c r="E318" t="s">
        <v>608</v>
      </c>
      <c r="F318" s="6"/>
      <c r="G318" s="6">
        <f t="shared" si="14"/>
        <v>180</v>
      </c>
      <c r="I318" s="6">
        <f t="shared" si="15"/>
        <v>360</v>
      </c>
      <c r="M318" s="6">
        <f t="shared" si="16"/>
        <v>180</v>
      </c>
    </row>
    <row r="319" spans="1:13" x14ac:dyDescent="0.3">
      <c r="A319">
        <v>318</v>
      </c>
      <c r="B319" t="s">
        <v>530</v>
      </c>
      <c r="C319" t="s">
        <v>389</v>
      </c>
      <c r="D319" t="s">
        <v>594</v>
      </c>
      <c r="E319" t="s">
        <v>627</v>
      </c>
      <c r="F319" s="6"/>
      <c r="G319" s="6">
        <f t="shared" si="14"/>
        <v>180</v>
      </c>
      <c r="I319" s="6">
        <f t="shared" si="15"/>
        <v>360</v>
      </c>
      <c r="M319" s="6">
        <f t="shared" si="16"/>
        <v>180</v>
      </c>
    </row>
    <row r="320" spans="1:13" x14ac:dyDescent="0.3">
      <c r="A320">
        <v>319</v>
      </c>
      <c r="B320" t="s">
        <v>598</v>
      </c>
      <c r="C320" t="s">
        <v>367</v>
      </c>
      <c r="D320" t="s">
        <v>595</v>
      </c>
      <c r="E320" t="s">
        <v>610</v>
      </c>
      <c r="F320" s="6">
        <v>45624</v>
      </c>
      <c r="G320" s="6">
        <f t="shared" si="14"/>
        <v>45804</v>
      </c>
      <c r="I320" s="6">
        <f t="shared" si="15"/>
        <v>45984</v>
      </c>
      <c r="M320" s="6">
        <f t="shared" si="16"/>
        <v>45804</v>
      </c>
    </row>
    <row r="321" spans="1:13" x14ac:dyDescent="0.3">
      <c r="A321">
        <v>320</v>
      </c>
      <c r="B321" t="s">
        <v>599</v>
      </c>
      <c r="C321" t="s">
        <v>368</v>
      </c>
      <c r="D321" t="s">
        <v>596</v>
      </c>
      <c r="E321" t="s">
        <v>608</v>
      </c>
      <c r="F321" s="6">
        <v>45804</v>
      </c>
      <c r="G321" s="6">
        <f t="shared" si="14"/>
        <v>45984</v>
      </c>
      <c r="I321" s="6">
        <f t="shared" si="15"/>
        <v>46164</v>
      </c>
      <c r="M321" s="6">
        <f t="shared" si="16"/>
        <v>45984</v>
      </c>
    </row>
    <row r="322" spans="1:13" x14ac:dyDescent="0.3">
      <c r="A322">
        <v>321</v>
      </c>
      <c r="B322" t="s">
        <v>600</v>
      </c>
      <c r="C322" t="s">
        <v>534</v>
      </c>
      <c r="D322" t="s">
        <v>597</v>
      </c>
      <c r="E322" t="s">
        <v>654</v>
      </c>
      <c r="F322" s="6">
        <v>45529</v>
      </c>
      <c r="G322" s="6">
        <f>F322+$O$1</f>
        <v>45709</v>
      </c>
      <c r="I322" s="6">
        <f t="shared" si="15"/>
        <v>45889</v>
      </c>
      <c r="M322" s="6">
        <f t="shared" si="16"/>
        <v>45709</v>
      </c>
    </row>
    <row r="323" spans="1:13" x14ac:dyDescent="0.3">
      <c r="A323">
        <v>322</v>
      </c>
      <c r="B323" t="s">
        <v>967</v>
      </c>
      <c r="C323" t="s">
        <v>368</v>
      </c>
      <c r="D323" t="s">
        <v>966</v>
      </c>
      <c r="E323" t="s">
        <v>1032</v>
      </c>
      <c r="F323" s="35">
        <v>45818</v>
      </c>
      <c r="G323" s="6">
        <f t="shared" ref="G323:G356" si="17">F323+$O$1</f>
        <v>45998</v>
      </c>
      <c r="I323" s="6">
        <f t="shared" si="15"/>
        <v>46178</v>
      </c>
    </row>
    <row r="324" spans="1:13" x14ac:dyDescent="0.3">
      <c r="A324">
        <v>323</v>
      </c>
      <c r="B324" t="s">
        <v>481</v>
      </c>
      <c r="C324" t="s">
        <v>368</v>
      </c>
      <c r="D324" t="s">
        <v>972</v>
      </c>
      <c r="F324" s="35">
        <v>45822</v>
      </c>
      <c r="G324" s="6">
        <f t="shared" si="17"/>
        <v>46002</v>
      </c>
      <c r="I324" s="6">
        <f t="shared" si="15"/>
        <v>46182</v>
      </c>
    </row>
    <row r="325" spans="1:13" x14ac:dyDescent="0.3">
      <c r="A325">
        <v>324</v>
      </c>
      <c r="B325" t="s">
        <v>968</v>
      </c>
      <c r="C325" t="s">
        <v>388</v>
      </c>
      <c r="D325" t="s">
        <v>571</v>
      </c>
      <c r="E325" t="s">
        <v>651</v>
      </c>
      <c r="F325" s="35">
        <v>45824</v>
      </c>
      <c r="G325" s="6">
        <f t="shared" si="17"/>
        <v>46004</v>
      </c>
      <c r="I325" s="6">
        <f t="shared" si="15"/>
        <v>46184</v>
      </c>
    </row>
    <row r="326" spans="1:13" x14ac:dyDescent="0.3">
      <c r="A326">
        <v>325</v>
      </c>
      <c r="B326" t="s">
        <v>969</v>
      </c>
      <c r="C326" t="s">
        <v>388</v>
      </c>
      <c r="D326" t="s">
        <v>973</v>
      </c>
      <c r="F326" s="35">
        <v>45826</v>
      </c>
      <c r="G326" s="6">
        <f t="shared" si="17"/>
        <v>46006</v>
      </c>
      <c r="I326" s="6">
        <f t="shared" si="15"/>
        <v>46186</v>
      </c>
    </row>
    <row r="327" spans="1:13" x14ac:dyDescent="0.3">
      <c r="A327">
        <v>326</v>
      </c>
      <c r="B327" t="s">
        <v>970</v>
      </c>
      <c r="C327" t="s">
        <v>368</v>
      </c>
      <c r="D327" t="s">
        <v>971</v>
      </c>
      <c r="F327" s="35">
        <v>45831</v>
      </c>
      <c r="G327" s="6">
        <f t="shared" si="17"/>
        <v>46011</v>
      </c>
      <c r="I327" s="6">
        <f t="shared" si="15"/>
        <v>46191</v>
      </c>
    </row>
    <row r="328" spans="1:13" x14ac:dyDescent="0.3">
      <c r="A328">
        <v>327</v>
      </c>
      <c r="B328" t="s">
        <v>974</v>
      </c>
      <c r="C328" t="s">
        <v>389</v>
      </c>
      <c r="D328" t="s">
        <v>985</v>
      </c>
      <c r="F328" s="35">
        <v>45842</v>
      </c>
      <c r="G328" s="6">
        <f t="shared" si="17"/>
        <v>46022</v>
      </c>
      <c r="I328" s="6">
        <f t="shared" si="15"/>
        <v>46202</v>
      </c>
    </row>
    <row r="329" spans="1:13" x14ac:dyDescent="0.3">
      <c r="A329">
        <v>328</v>
      </c>
      <c r="B329" t="s">
        <v>987</v>
      </c>
      <c r="C329" t="s">
        <v>341</v>
      </c>
      <c r="D329" t="s">
        <v>986</v>
      </c>
      <c r="F329" s="35">
        <v>45849</v>
      </c>
      <c r="G329" s="6">
        <f t="shared" si="17"/>
        <v>46029</v>
      </c>
      <c r="I329" s="6">
        <f t="shared" si="15"/>
        <v>46209</v>
      </c>
    </row>
    <row r="330" spans="1:13" x14ac:dyDescent="0.3">
      <c r="A330">
        <v>329</v>
      </c>
      <c r="B330" t="s">
        <v>975</v>
      </c>
      <c r="C330" t="s">
        <v>388</v>
      </c>
      <c r="D330" t="s">
        <v>984</v>
      </c>
      <c r="F330" s="35">
        <v>45849</v>
      </c>
      <c r="G330" s="6">
        <f t="shared" si="17"/>
        <v>46029</v>
      </c>
      <c r="I330" s="6">
        <f t="shared" si="15"/>
        <v>46209</v>
      </c>
    </row>
    <row r="331" spans="1:13" x14ac:dyDescent="0.3">
      <c r="A331">
        <v>330</v>
      </c>
      <c r="B331" t="s">
        <v>976</v>
      </c>
      <c r="C331" t="s">
        <v>982</v>
      </c>
      <c r="D331" t="s">
        <v>983</v>
      </c>
      <c r="F331" s="35">
        <v>45850</v>
      </c>
      <c r="G331" s="6">
        <f t="shared" si="17"/>
        <v>46030</v>
      </c>
      <c r="I331" s="6">
        <f t="shared" si="15"/>
        <v>46210</v>
      </c>
    </row>
    <row r="332" spans="1:13" x14ac:dyDescent="0.3">
      <c r="A332">
        <v>331</v>
      </c>
      <c r="B332" t="s">
        <v>977</v>
      </c>
      <c r="C332" t="s">
        <v>368</v>
      </c>
      <c r="D332" t="s">
        <v>981</v>
      </c>
      <c r="F332" s="35">
        <v>45866</v>
      </c>
      <c r="G332" s="6">
        <f t="shared" si="17"/>
        <v>46046</v>
      </c>
      <c r="I332" s="6">
        <f t="shared" si="15"/>
        <v>46226</v>
      </c>
    </row>
    <row r="333" spans="1:13" x14ac:dyDescent="0.3">
      <c r="A333">
        <v>332</v>
      </c>
      <c r="B333" t="s">
        <v>978</v>
      </c>
      <c r="C333" t="s">
        <v>388</v>
      </c>
      <c r="D333" t="s">
        <v>956</v>
      </c>
      <c r="F333" s="35">
        <v>45866</v>
      </c>
      <c r="G333" s="6">
        <f t="shared" si="17"/>
        <v>46046</v>
      </c>
      <c r="I333" s="6">
        <f t="shared" si="15"/>
        <v>46226</v>
      </c>
    </row>
    <row r="334" spans="1:13" x14ac:dyDescent="0.3">
      <c r="A334">
        <v>333</v>
      </c>
      <c r="B334" t="s">
        <v>979</v>
      </c>
      <c r="C334" t="s">
        <v>341</v>
      </c>
      <c r="D334" t="s">
        <v>980</v>
      </c>
      <c r="F334" s="35">
        <v>45868</v>
      </c>
      <c r="G334" s="6">
        <f t="shared" si="17"/>
        <v>46048</v>
      </c>
      <c r="I334" s="6">
        <f t="shared" si="15"/>
        <v>46228</v>
      </c>
    </row>
    <row r="335" spans="1:13" x14ac:dyDescent="0.3">
      <c r="A335">
        <v>334</v>
      </c>
      <c r="B335" t="s">
        <v>990</v>
      </c>
      <c r="C335" t="s">
        <v>388</v>
      </c>
      <c r="D335" t="s">
        <v>988</v>
      </c>
      <c r="F335" s="35">
        <v>45894</v>
      </c>
      <c r="G335" s="6">
        <f t="shared" si="17"/>
        <v>46074</v>
      </c>
      <c r="I335" s="6">
        <f t="shared" si="15"/>
        <v>46254</v>
      </c>
    </row>
    <row r="336" spans="1:13" x14ac:dyDescent="0.3">
      <c r="A336">
        <v>335</v>
      </c>
      <c r="B336" t="s">
        <v>989</v>
      </c>
      <c r="C336" t="s">
        <v>341</v>
      </c>
      <c r="D336" t="s">
        <v>980</v>
      </c>
      <c r="F336" s="35">
        <v>45897</v>
      </c>
      <c r="G336" s="6">
        <f t="shared" si="17"/>
        <v>46077</v>
      </c>
      <c r="I336" s="6">
        <f t="shared" si="15"/>
        <v>46257</v>
      </c>
    </row>
    <row r="337" spans="1:9" x14ac:dyDescent="0.3">
      <c r="A337">
        <v>336</v>
      </c>
      <c r="B337" t="s">
        <v>991</v>
      </c>
      <c r="C337" t="s">
        <v>389</v>
      </c>
      <c r="D337" t="s">
        <v>995</v>
      </c>
      <c r="F337" s="35">
        <v>45911</v>
      </c>
      <c r="G337" s="6">
        <f t="shared" si="17"/>
        <v>46091</v>
      </c>
      <c r="I337" s="6">
        <f t="shared" si="15"/>
        <v>46271</v>
      </c>
    </row>
    <row r="338" spans="1:9" x14ac:dyDescent="0.3">
      <c r="A338">
        <v>337</v>
      </c>
      <c r="B338" t="s">
        <v>992</v>
      </c>
      <c r="C338" t="s">
        <v>364</v>
      </c>
      <c r="D338" t="s">
        <v>994</v>
      </c>
      <c r="F338" s="35">
        <v>45923</v>
      </c>
      <c r="G338" s="6">
        <f t="shared" si="17"/>
        <v>46103</v>
      </c>
      <c r="I338" s="6">
        <f t="shared" si="15"/>
        <v>46283</v>
      </c>
    </row>
    <row r="339" spans="1:9" x14ac:dyDescent="0.3">
      <c r="A339">
        <v>338</v>
      </c>
      <c r="B339" t="s">
        <v>993</v>
      </c>
      <c r="C339" t="s">
        <v>207</v>
      </c>
      <c r="D339" t="s">
        <v>996</v>
      </c>
      <c r="F339" s="35">
        <v>45926</v>
      </c>
      <c r="G339" s="6">
        <f t="shared" si="17"/>
        <v>46106</v>
      </c>
      <c r="I339" s="6">
        <f t="shared" si="15"/>
        <v>46286</v>
      </c>
    </row>
    <row r="340" spans="1:9" x14ac:dyDescent="0.3">
      <c r="A340">
        <v>339</v>
      </c>
      <c r="B340" t="s">
        <v>997</v>
      </c>
      <c r="C340" t="s">
        <v>368</v>
      </c>
      <c r="D340" t="s">
        <v>1003</v>
      </c>
      <c r="F340" s="35">
        <v>45940</v>
      </c>
      <c r="G340" s="6">
        <f t="shared" si="17"/>
        <v>46120</v>
      </c>
      <c r="I340" s="6">
        <f t="shared" si="15"/>
        <v>46300</v>
      </c>
    </row>
    <row r="341" spans="1:9" x14ac:dyDescent="0.3">
      <c r="A341">
        <v>340</v>
      </c>
      <c r="B341" t="s">
        <v>998</v>
      </c>
      <c r="C341" t="s">
        <v>364</v>
      </c>
      <c r="D341" t="s">
        <v>1004</v>
      </c>
      <c r="F341" s="35">
        <v>45947</v>
      </c>
      <c r="G341" s="6">
        <f t="shared" si="17"/>
        <v>46127</v>
      </c>
      <c r="I341" s="6">
        <f t="shared" si="15"/>
        <v>46307</v>
      </c>
    </row>
    <row r="342" spans="1:9" x14ac:dyDescent="0.3">
      <c r="A342">
        <v>341</v>
      </c>
      <c r="B342" t="s">
        <v>999</v>
      </c>
      <c r="C342" t="s">
        <v>389</v>
      </c>
      <c r="D342" t="s">
        <v>1005</v>
      </c>
      <c r="F342" s="35">
        <v>45954</v>
      </c>
      <c r="G342" s="6">
        <f t="shared" si="17"/>
        <v>46134</v>
      </c>
      <c r="I342" s="6">
        <f t="shared" ref="I342:I356" si="18">G342+$O$1</f>
        <v>46314</v>
      </c>
    </row>
    <row r="343" spans="1:9" x14ac:dyDescent="0.3">
      <c r="A343">
        <v>342</v>
      </c>
      <c r="B343" t="s">
        <v>1007</v>
      </c>
      <c r="C343" t="s">
        <v>389</v>
      </c>
      <c r="D343" t="s">
        <v>1006</v>
      </c>
      <c r="F343" s="35">
        <v>45957</v>
      </c>
      <c r="G343" s="6">
        <f t="shared" si="17"/>
        <v>46137</v>
      </c>
      <c r="I343" s="6">
        <f t="shared" si="18"/>
        <v>46317</v>
      </c>
    </row>
    <row r="344" spans="1:9" x14ac:dyDescent="0.3">
      <c r="A344">
        <v>343</v>
      </c>
      <c r="B344" t="s">
        <v>1002</v>
      </c>
      <c r="C344" t="s">
        <v>1009</v>
      </c>
      <c r="D344" t="s">
        <v>1008</v>
      </c>
      <c r="F344" s="35">
        <v>45958</v>
      </c>
      <c r="G344" s="6">
        <f t="shared" si="17"/>
        <v>46138</v>
      </c>
      <c r="I344" s="6">
        <f t="shared" si="18"/>
        <v>46318</v>
      </c>
    </row>
    <row r="345" spans="1:9" x14ac:dyDescent="0.3">
      <c r="A345">
        <v>344</v>
      </c>
      <c r="B345" t="s">
        <v>1000</v>
      </c>
      <c r="C345" t="s">
        <v>368</v>
      </c>
      <c r="D345" t="s">
        <v>1011</v>
      </c>
      <c r="F345" s="35">
        <v>45958</v>
      </c>
      <c r="G345" s="6">
        <f t="shared" si="17"/>
        <v>46138</v>
      </c>
      <c r="I345" s="6">
        <f t="shared" si="18"/>
        <v>46318</v>
      </c>
    </row>
    <row r="346" spans="1:9" x14ac:dyDescent="0.3">
      <c r="A346">
        <v>345</v>
      </c>
      <c r="B346" t="s">
        <v>1001</v>
      </c>
      <c r="C346" t="s">
        <v>368</v>
      </c>
      <c r="D346" t="s">
        <v>1010</v>
      </c>
      <c r="F346" s="35">
        <v>45958</v>
      </c>
      <c r="G346" s="6">
        <f t="shared" si="17"/>
        <v>46138</v>
      </c>
      <c r="I346" s="6">
        <f t="shared" si="18"/>
        <v>46318</v>
      </c>
    </row>
    <row r="347" spans="1:9" x14ac:dyDescent="0.3">
      <c r="A347">
        <v>346</v>
      </c>
      <c r="B347" t="s">
        <v>1012</v>
      </c>
      <c r="C347" t="s">
        <v>389</v>
      </c>
      <c r="D347" t="s">
        <v>1018</v>
      </c>
      <c r="F347" s="35">
        <v>45979</v>
      </c>
      <c r="G347" s="6">
        <f t="shared" si="17"/>
        <v>46159</v>
      </c>
      <c r="I347" s="6">
        <f t="shared" si="18"/>
        <v>46339</v>
      </c>
    </row>
    <row r="348" spans="1:9" x14ac:dyDescent="0.3">
      <c r="A348">
        <v>347</v>
      </c>
      <c r="B348" t="s">
        <v>1013</v>
      </c>
      <c r="C348" t="s">
        <v>368</v>
      </c>
      <c r="D348" t="s">
        <v>1019</v>
      </c>
      <c r="F348" s="35">
        <v>45979</v>
      </c>
      <c r="G348" s="6">
        <f t="shared" si="17"/>
        <v>46159</v>
      </c>
      <c r="I348" s="6">
        <f t="shared" si="18"/>
        <v>46339</v>
      </c>
    </row>
    <row r="349" spans="1:9" x14ac:dyDescent="0.3">
      <c r="A349">
        <v>348</v>
      </c>
      <c r="B349" t="s">
        <v>1014</v>
      </c>
      <c r="C349" t="s">
        <v>388</v>
      </c>
      <c r="D349" t="s">
        <v>1020</v>
      </c>
      <c r="F349" s="35">
        <v>45982</v>
      </c>
      <c r="G349" s="6">
        <f t="shared" si="17"/>
        <v>46162</v>
      </c>
      <c r="I349" s="6">
        <f t="shared" si="18"/>
        <v>46342</v>
      </c>
    </row>
    <row r="350" spans="1:9" x14ac:dyDescent="0.3">
      <c r="A350">
        <v>349</v>
      </c>
      <c r="B350" t="s">
        <v>1015</v>
      </c>
      <c r="C350" t="s">
        <v>388</v>
      </c>
      <c r="D350" t="s">
        <v>1021</v>
      </c>
      <c r="F350" s="35">
        <v>45985</v>
      </c>
      <c r="G350" s="6">
        <f t="shared" si="17"/>
        <v>46165</v>
      </c>
      <c r="I350" s="6">
        <f t="shared" si="18"/>
        <v>46345</v>
      </c>
    </row>
    <row r="351" spans="1:9" x14ac:dyDescent="0.3">
      <c r="A351">
        <v>350</v>
      </c>
      <c r="B351" t="s">
        <v>1023</v>
      </c>
      <c r="C351" t="s">
        <v>388</v>
      </c>
      <c r="D351" t="s">
        <v>1022</v>
      </c>
      <c r="F351" s="35">
        <v>45985</v>
      </c>
      <c r="G351" s="6">
        <f t="shared" si="17"/>
        <v>46165</v>
      </c>
      <c r="I351" s="6">
        <f t="shared" si="18"/>
        <v>46345</v>
      </c>
    </row>
    <row r="352" spans="1:9" x14ac:dyDescent="0.3">
      <c r="A352">
        <v>351</v>
      </c>
      <c r="B352" t="s">
        <v>1016</v>
      </c>
      <c r="C352" t="s">
        <v>341</v>
      </c>
      <c r="D352" t="s">
        <v>1024</v>
      </c>
      <c r="F352" s="35">
        <v>45985</v>
      </c>
      <c r="G352" s="6">
        <f t="shared" si="17"/>
        <v>46165</v>
      </c>
      <c r="I352" s="6">
        <f t="shared" si="18"/>
        <v>46345</v>
      </c>
    </row>
    <row r="353" spans="1:9" x14ac:dyDescent="0.3">
      <c r="A353">
        <v>352</v>
      </c>
      <c r="B353" t="s">
        <v>1017</v>
      </c>
      <c r="C353" t="s">
        <v>368</v>
      </c>
      <c r="D353" t="s">
        <v>1025</v>
      </c>
      <c r="F353" s="35">
        <v>45986</v>
      </c>
      <c r="G353" s="6">
        <f t="shared" si="17"/>
        <v>46166</v>
      </c>
      <c r="I353" s="6">
        <f t="shared" si="18"/>
        <v>46346</v>
      </c>
    </row>
    <row r="354" spans="1:9" x14ac:dyDescent="0.3">
      <c r="A354">
        <v>353</v>
      </c>
      <c r="B354" t="s">
        <v>1026</v>
      </c>
      <c r="C354" t="s">
        <v>387</v>
      </c>
      <c r="D354" t="s">
        <v>1027</v>
      </c>
      <c r="F354" s="35">
        <v>45993</v>
      </c>
      <c r="G354" s="6">
        <f t="shared" si="17"/>
        <v>46173</v>
      </c>
      <c r="I354" s="6">
        <f t="shared" si="18"/>
        <v>46353</v>
      </c>
    </row>
    <row r="355" spans="1:9" x14ac:dyDescent="0.3">
      <c r="A355">
        <v>354</v>
      </c>
      <c r="B355" t="s">
        <v>1030</v>
      </c>
      <c r="C355" t="s">
        <v>388</v>
      </c>
      <c r="D355" t="s">
        <v>1028</v>
      </c>
      <c r="F355" s="35">
        <v>45993</v>
      </c>
      <c r="G355" s="6">
        <f t="shared" si="17"/>
        <v>46173</v>
      </c>
      <c r="I355" s="6">
        <f t="shared" si="18"/>
        <v>46353</v>
      </c>
    </row>
    <row r="356" spans="1:9" x14ac:dyDescent="0.3">
      <c r="A356">
        <v>355</v>
      </c>
      <c r="B356" t="s">
        <v>1029</v>
      </c>
      <c r="C356" t="s">
        <v>341</v>
      </c>
      <c r="D356" t="s">
        <v>1024</v>
      </c>
      <c r="F356" s="35">
        <v>45999</v>
      </c>
      <c r="G356" s="6">
        <f t="shared" si="17"/>
        <v>46179</v>
      </c>
      <c r="I356" s="6">
        <f t="shared" si="18"/>
        <v>46359</v>
      </c>
    </row>
  </sheetData>
  <autoFilter ref="A1:M322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6"/>
  <sheetViews>
    <sheetView topLeftCell="A397" workbookViewId="0">
      <selection activeCell="I6" sqref="I6"/>
    </sheetView>
  </sheetViews>
  <sheetFormatPr defaultRowHeight="14.4" x14ac:dyDescent="0.3"/>
  <cols>
    <col min="3" max="3" width="27" bestFit="1" customWidth="1"/>
    <col min="4" max="4" width="8.6640625" bestFit="1" customWidth="1"/>
    <col min="5" max="5" width="11" bestFit="1" customWidth="1"/>
    <col min="8" max="8" width="42.109375" customWidth="1"/>
  </cols>
  <sheetData>
    <row r="1" spans="1:13" ht="49.95" customHeight="1" thickBot="1" x14ac:dyDescent="0.35">
      <c r="A1" s="36" t="s">
        <v>0</v>
      </c>
      <c r="B1" s="37" t="s">
        <v>1035</v>
      </c>
      <c r="C1" s="37" t="s">
        <v>1036</v>
      </c>
      <c r="D1" s="37" t="s">
        <v>1037</v>
      </c>
      <c r="E1" s="37" t="s">
        <v>1038</v>
      </c>
      <c r="F1" s="37" t="s">
        <v>1039</v>
      </c>
      <c r="G1" s="37" t="s">
        <v>1040</v>
      </c>
      <c r="H1" s="37" t="s">
        <v>1041</v>
      </c>
      <c r="I1" s="54" t="s">
        <v>359</v>
      </c>
      <c r="J1" s="54" t="s">
        <v>955</v>
      </c>
      <c r="K1" s="54" t="s">
        <v>1589</v>
      </c>
      <c r="L1" s="54" t="s">
        <v>1590</v>
      </c>
      <c r="M1" s="54" t="s">
        <v>1591</v>
      </c>
    </row>
    <row r="2" spans="1:13" ht="49.95" customHeight="1" thickBot="1" x14ac:dyDescent="0.35">
      <c r="A2" s="38">
        <v>1</v>
      </c>
      <c r="B2" s="39" t="s">
        <v>207</v>
      </c>
      <c r="C2" s="40" t="s">
        <v>2</v>
      </c>
      <c r="D2" s="40" t="s">
        <v>361</v>
      </c>
      <c r="E2" s="41" t="s">
        <v>1042</v>
      </c>
      <c r="F2" s="40" t="s">
        <v>1043</v>
      </c>
      <c r="G2" s="42">
        <v>2</v>
      </c>
      <c r="H2" s="39" t="s">
        <v>666</v>
      </c>
    </row>
    <row r="3" spans="1:13" ht="49.95" customHeight="1" thickBot="1" x14ac:dyDescent="0.35">
      <c r="A3" s="38">
        <v>2</v>
      </c>
      <c r="B3" s="39" t="s">
        <v>208</v>
      </c>
      <c r="C3" s="40" t="s">
        <v>3</v>
      </c>
      <c r="D3" s="40" t="s">
        <v>362</v>
      </c>
      <c r="E3" s="41" t="s">
        <v>1042</v>
      </c>
      <c r="F3" s="40" t="s">
        <v>1043</v>
      </c>
      <c r="G3" s="42">
        <v>4</v>
      </c>
      <c r="H3" s="39" t="s">
        <v>1044</v>
      </c>
    </row>
    <row r="4" spans="1:13" ht="49.95" customHeight="1" thickBot="1" x14ac:dyDescent="0.35">
      <c r="A4" s="38">
        <v>3</v>
      </c>
      <c r="B4" s="39" t="s">
        <v>209</v>
      </c>
      <c r="C4" s="40" t="s">
        <v>4</v>
      </c>
      <c r="D4" s="40" t="s">
        <v>363</v>
      </c>
      <c r="E4" s="41" t="s">
        <v>1045</v>
      </c>
      <c r="F4" s="40" t="s">
        <v>1043</v>
      </c>
      <c r="G4" s="42">
        <v>4</v>
      </c>
      <c r="H4" s="39" t="s">
        <v>1046</v>
      </c>
    </row>
    <row r="5" spans="1:13" ht="49.95" customHeight="1" thickBot="1" x14ac:dyDescent="0.35">
      <c r="A5" s="38">
        <v>4</v>
      </c>
      <c r="B5" s="39" t="s">
        <v>424</v>
      </c>
      <c r="C5" s="40" t="s">
        <v>1047</v>
      </c>
      <c r="D5" s="40" t="s">
        <v>362</v>
      </c>
      <c r="E5" s="41" t="s">
        <v>1042</v>
      </c>
      <c r="F5" s="40" t="s">
        <v>1048</v>
      </c>
      <c r="G5" s="42">
        <v>4</v>
      </c>
      <c r="H5" s="39" t="s">
        <v>674</v>
      </c>
    </row>
    <row r="6" spans="1:13" ht="49.95" customHeight="1" thickBot="1" x14ac:dyDescent="0.35">
      <c r="A6" s="38">
        <v>5</v>
      </c>
      <c r="B6" s="39" t="s">
        <v>210</v>
      </c>
      <c r="C6" s="40" t="s">
        <v>1047</v>
      </c>
      <c r="D6" s="40" t="s">
        <v>362</v>
      </c>
      <c r="E6" s="41" t="s">
        <v>0</v>
      </c>
      <c r="F6" s="40" t="s">
        <v>1043</v>
      </c>
      <c r="G6" s="42">
        <v>4</v>
      </c>
      <c r="H6" s="39" t="s">
        <v>1049</v>
      </c>
    </row>
    <row r="7" spans="1:13" ht="49.95" customHeight="1" thickBot="1" x14ac:dyDescent="0.35">
      <c r="A7" s="38">
        <v>6</v>
      </c>
      <c r="B7" s="39" t="s">
        <v>207</v>
      </c>
      <c r="C7" s="40" t="s">
        <v>1050</v>
      </c>
      <c r="D7" s="40" t="s">
        <v>361</v>
      </c>
      <c r="E7" s="41" t="s">
        <v>1051</v>
      </c>
      <c r="F7" s="40" t="s">
        <v>1043</v>
      </c>
      <c r="G7" s="42">
        <v>4</v>
      </c>
      <c r="H7" s="39" t="s">
        <v>715</v>
      </c>
    </row>
    <row r="8" spans="1:13" ht="49.95" customHeight="1" thickBot="1" x14ac:dyDescent="0.35">
      <c r="A8" s="38">
        <v>7</v>
      </c>
      <c r="B8" s="39" t="s">
        <v>211</v>
      </c>
      <c r="C8" s="40" t="s">
        <v>1052</v>
      </c>
      <c r="D8" s="40" t="s">
        <v>362</v>
      </c>
      <c r="E8" s="41" t="s">
        <v>1042</v>
      </c>
      <c r="F8" s="40" t="s">
        <v>1043</v>
      </c>
      <c r="G8" s="42">
        <v>3</v>
      </c>
      <c r="H8" s="39" t="s">
        <v>679</v>
      </c>
    </row>
    <row r="9" spans="1:13" ht="49.95" customHeight="1" thickBot="1" x14ac:dyDescent="0.35">
      <c r="A9" s="38">
        <v>8</v>
      </c>
      <c r="B9" s="39" t="s">
        <v>212</v>
      </c>
      <c r="C9" s="40" t="s">
        <v>1053</v>
      </c>
      <c r="D9" s="40" t="s">
        <v>363</v>
      </c>
      <c r="E9" s="41" t="s">
        <v>1045</v>
      </c>
      <c r="F9" s="40" t="s">
        <v>1043</v>
      </c>
      <c r="G9" s="42">
        <v>4</v>
      </c>
      <c r="H9" s="39" t="s">
        <v>1054</v>
      </c>
    </row>
    <row r="10" spans="1:13" ht="49.95" customHeight="1" thickBot="1" x14ac:dyDescent="0.35">
      <c r="A10" s="38">
        <v>9</v>
      </c>
      <c r="B10" s="39" t="s">
        <v>213</v>
      </c>
      <c r="C10" s="40" t="s">
        <v>8</v>
      </c>
      <c r="D10" s="40" t="s">
        <v>362</v>
      </c>
      <c r="E10" s="41" t="s">
        <v>1042</v>
      </c>
      <c r="F10" s="40" t="s">
        <v>1043</v>
      </c>
      <c r="G10" s="42">
        <v>3</v>
      </c>
      <c r="H10" s="39" t="s">
        <v>669</v>
      </c>
    </row>
    <row r="11" spans="1:13" ht="49.95" customHeight="1" thickBot="1" x14ac:dyDescent="0.35">
      <c r="A11" s="38">
        <v>10</v>
      </c>
      <c r="B11" s="39" t="s">
        <v>214</v>
      </c>
      <c r="C11" s="40" t="s">
        <v>1055</v>
      </c>
      <c r="D11" s="40" t="s">
        <v>362</v>
      </c>
      <c r="E11" s="41" t="s">
        <v>1042</v>
      </c>
      <c r="F11" s="40" t="s">
        <v>1043</v>
      </c>
      <c r="G11" s="42">
        <v>2</v>
      </c>
      <c r="H11" s="39" t="s">
        <v>667</v>
      </c>
    </row>
    <row r="12" spans="1:13" ht="49.95" customHeight="1" thickBot="1" x14ac:dyDescent="0.35">
      <c r="A12" s="38">
        <v>11</v>
      </c>
      <c r="B12" s="39" t="s">
        <v>215</v>
      </c>
      <c r="C12" s="40" t="s">
        <v>10</v>
      </c>
      <c r="D12" s="40" t="s">
        <v>362</v>
      </c>
      <c r="E12" s="41" t="s">
        <v>1042</v>
      </c>
      <c r="F12" s="40" t="s">
        <v>1043</v>
      </c>
      <c r="G12" s="42">
        <v>3</v>
      </c>
      <c r="H12" s="39" t="s">
        <v>678</v>
      </c>
    </row>
    <row r="13" spans="1:13" ht="49.95" customHeight="1" thickBot="1" x14ac:dyDescent="0.35">
      <c r="A13" s="38">
        <v>12</v>
      </c>
      <c r="B13" s="39" t="s">
        <v>216</v>
      </c>
      <c r="C13" s="40" t="s">
        <v>1056</v>
      </c>
      <c r="D13" s="40" t="s">
        <v>362</v>
      </c>
      <c r="E13" s="41" t="s">
        <v>1042</v>
      </c>
      <c r="F13" s="40" t="s">
        <v>1043</v>
      </c>
      <c r="G13" s="42">
        <v>2</v>
      </c>
      <c r="H13" s="39" t="s">
        <v>672</v>
      </c>
    </row>
    <row r="14" spans="1:13" ht="49.95" customHeight="1" thickBot="1" x14ac:dyDescent="0.35">
      <c r="A14" s="38">
        <v>13</v>
      </c>
      <c r="B14" s="39" t="s">
        <v>217</v>
      </c>
      <c r="C14" s="40" t="s">
        <v>1057</v>
      </c>
      <c r="D14" s="40" t="s">
        <v>363</v>
      </c>
      <c r="E14" s="41" t="s">
        <v>1042</v>
      </c>
      <c r="F14" s="40" t="s">
        <v>1043</v>
      </c>
      <c r="G14" s="42">
        <v>6</v>
      </c>
      <c r="H14" s="39" t="s">
        <v>682</v>
      </c>
    </row>
    <row r="15" spans="1:13" ht="49.95" customHeight="1" thickBot="1" x14ac:dyDescent="0.35">
      <c r="A15" s="38">
        <v>14</v>
      </c>
      <c r="B15" s="39" t="s">
        <v>218</v>
      </c>
      <c r="C15" s="40" t="s">
        <v>1058</v>
      </c>
      <c r="D15" s="40" t="s">
        <v>364</v>
      </c>
      <c r="E15" s="41" t="s">
        <v>1042</v>
      </c>
      <c r="F15" s="40" t="s">
        <v>1043</v>
      </c>
      <c r="G15" s="42">
        <v>4</v>
      </c>
      <c r="H15" s="39" t="s">
        <v>705</v>
      </c>
    </row>
    <row r="16" spans="1:13" ht="49.95" customHeight="1" thickBot="1" x14ac:dyDescent="0.35">
      <c r="A16" s="38">
        <v>15</v>
      </c>
      <c r="B16" s="39" t="s">
        <v>1059</v>
      </c>
      <c r="C16" s="40" t="s">
        <v>1060</v>
      </c>
      <c r="D16" s="40" t="s">
        <v>362</v>
      </c>
      <c r="E16" s="41" t="s">
        <v>1042</v>
      </c>
      <c r="F16" s="40" t="s">
        <v>1043</v>
      </c>
      <c r="G16" s="42">
        <v>3</v>
      </c>
      <c r="H16" s="39" t="s">
        <v>1061</v>
      </c>
    </row>
    <row r="17" spans="1:8" ht="49.95" customHeight="1" thickBot="1" x14ac:dyDescent="0.35">
      <c r="A17" s="38">
        <v>16</v>
      </c>
      <c r="B17" s="39" t="s">
        <v>219</v>
      </c>
      <c r="C17" s="40" t="s">
        <v>1062</v>
      </c>
      <c r="D17" s="40" t="s">
        <v>362</v>
      </c>
      <c r="E17" s="41" t="s">
        <v>1042</v>
      </c>
      <c r="F17" s="40" t="s">
        <v>1043</v>
      </c>
      <c r="G17" s="42">
        <v>2</v>
      </c>
      <c r="H17" s="39" t="s">
        <v>1063</v>
      </c>
    </row>
    <row r="18" spans="1:8" ht="49.95" customHeight="1" thickBot="1" x14ac:dyDescent="0.35">
      <c r="A18" s="38">
        <v>17</v>
      </c>
      <c r="B18" s="39" t="s">
        <v>220</v>
      </c>
      <c r="C18" s="40" t="s">
        <v>1064</v>
      </c>
      <c r="D18" s="40" t="s">
        <v>362</v>
      </c>
      <c r="E18" s="41" t="s">
        <v>1042</v>
      </c>
      <c r="F18" s="40" t="s">
        <v>1043</v>
      </c>
      <c r="G18" s="42">
        <v>2</v>
      </c>
      <c r="H18" s="39" t="s">
        <v>723</v>
      </c>
    </row>
    <row r="19" spans="1:8" ht="49.95" customHeight="1" thickBot="1" x14ac:dyDescent="0.35">
      <c r="A19" s="38">
        <v>18</v>
      </c>
      <c r="B19" s="39" t="s">
        <v>221</v>
      </c>
      <c r="C19" s="40" t="s">
        <v>1065</v>
      </c>
      <c r="D19" s="40" t="s">
        <v>365</v>
      </c>
      <c r="E19" s="41" t="s">
        <v>1042</v>
      </c>
      <c r="F19" s="40" t="s">
        <v>1043</v>
      </c>
      <c r="G19" s="42">
        <v>4</v>
      </c>
      <c r="H19" s="39" t="s">
        <v>700</v>
      </c>
    </row>
    <row r="20" spans="1:8" ht="49.95" customHeight="1" thickBot="1" x14ac:dyDescent="0.35">
      <c r="A20" s="38">
        <v>19</v>
      </c>
      <c r="B20" s="39" t="s">
        <v>222</v>
      </c>
      <c r="C20" s="40" t="s">
        <v>17</v>
      </c>
      <c r="D20" s="40" t="s">
        <v>362</v>
      </c>
      <c r="E20" s="41" t="s">
        <v>1042</v>
      </c>
      <c r="F20" s="40" t="s">
        <v>1043</v>
      </c>
      <c r="G20" s="42">
        <v>3</v>
      </c>
      <c r="H20" s="39" t="s">
        <v>671</v>
      </c>
    </row>
    <row r="21" spans="1:8" ht="49.95" customHeight="1" thickBot="1" x14ac:dyDescent="0.35">
      <c r="A21" s="38">
        <v>20</v>
      </c>
      <c r="B21" s="39" t="s">
        <v>555</v>
      </c>
      <c r="C21" s="40" t="s">
        <v>1066</v>
      </c>
      <c r="D21" s="40" t="s">
        <v>361</v>
      </c>
      <c r="E21" s="41" t="s">
        <v>1042</v>
      </c>
      <c r="F21" s="40" t="s">
        <v>1043</v>
      </c>
      <c r="G21" s="42">
        <v>2</v>
      </c>
      <c r="H21" s="39" t="s">
        <v>892</v>
      </c>
    </row>
    <row r="22" spans="1:8" ht="49.95" customHeight="1" thickBot="1" x14ac:dyDescent="0.35">
      <c r="A22" s="38">
        <v>21</v>
      </c>
      <c r="B22" s="39" t="s">
        <v>223</v>
      </c>
      <c r="C22" s="40" t="s">
        <v>18</v>
      </c>
      <c r="D22" s="40" t="s">
        <v>364</v>
      </c>
      <c r="E22" s="41" t="s">
        <v>1045</v>
      </c>
      <c r="F22" s="40" t="s">
        <v>1043</v>
      </c>
      <c r="G22" s="42">
        <v>2</v>
      </c>
      <c r="H22" s="39" t="s">
        <v>688</v>
      </c>
    </row>
    <row r="23" spans="1:8" ht="49.95" customHeight="1" thickBot="1" x14ac:dyDescent="0.35">
      <c r="A23" s="38">
        <v>22</v>
      </c>
      <c r="B23" s="39" t="s">
        <v>224</v>
      </c>
      <c r="C23" s="40" t="s">
        <v>19</v>
      </c>
      <c r="D23" s="40" t="s">
        <v>362</v>
      </c>
      <c r="E23" s="41" t="s">
        <v>1042</v>
      </c>
      <c r="F23" s="40" t="s">
        <v>1043</v>
      </c>
      <c r="G23" s="42">
        <v>2</v>
      </c>
      <c r="H23" s="39" t="s">
        <v>673</v>
      </c>
    </row>
    <row r="24" spans="1:8" ht="49.95" customHeight="1" thickBot="1" x14ac:dyDescent="0.35">
      <c r="A24" s="38">
        <v>23</v>
      </c>
      <c r="B24" s="39" t="s">
        <v>225</v>
      </c>
      <c r="C24" s="40" t="s">
        <v>20</v>
      </c>
      <c r="D24" s="40" t="s">
        <v>362</v>
      </c>
      <c r="E24" s="41" t="s">
        <v>1042</v>
      </c>
      <c r="F24" s="40" t="s">
        <v>1043</v>
      </c>
      <c r="G24" s="42">
        <v>4</v>
      </c>
      <c r="H24" s="39" t="s">
        <v>670</v>
      </c>
    </row>
    <row r="25" spans="1:8" ht="49.95" customHeight="1" thickBot="1" x14ac:dyDescent="0.35">
      <c r="A25" s="38">
        <v>24</v>
      </c>
      <c r="B25" s="39" t="s">
        <v>229</v>
      </c>
      <c r="C25" s="40" t="s">
        <v>1067</v>
      </c>
      <c r="D25" s="40" t="s">
        <v>364</v>
      </c>
      <c r="E25" s="41" t="s">
        <v>1042</v>
      </c>
      <c r="F25" s="40" t="s">
        <v>1043</v>
      </c>
      <c r="G25" s="42">
        <v>2</v>
      </c>
      <c r="H25" s="39" t="s">
        <v>1068</v>
      </c>
    </row>
    <row r="26" spans="1:8" ht="49.95" customHeight="1" thickBot="1" x14ac:dyDescent="0.35">
      <c r="A26" s="38">
        <v>25</v>
      </c>
      <c r="B26" s="39" t="s">
        <v>226</v>
      </c>
      <c r="C26" s="40" t="s">
        <v>1069</v>
      </c>
      <c r="D26" s="40" t="s">
        <v>362</v>
      </c>
      <c r="E26" s="41" t="s">
        <v>1042</v>
      </c>
      <c r="F26" s="40" t="s">
        <v>1043</v>
      </c>
      <c r="G26" s="42">
        <v>3</v>
      </c>
      <c r="H26" s="39" t="s">
        <v>1070</v>
      </c>
    </row>
    <row r="27" spans="1:8" ht="49.95" customHeight="1" thickBot="1" x14ac:dyDescent="0.35">
      <c r="A27" s="38">
        <v>26</v>
      </c>
      <c r="B27" s="39" t="s">
        <v>230</v>
      </c>
      <c r="C27" s="40" t="s">
        <v>1071</v>
      </c>
      <c r="D27" s="40" t="s">
        <v>362</v>
      </c>
      <c r="E27" s="41" t="s">
        <v>1042</v>
      </c>
      <c r="F27" s="40" t="s">
        <v>1043</v>
      </c>
      <c r="G27" s="42">
        <v>2</v>
      </c>
      <c r="H27" s="39" t="s">
        <v>699</v>
      </c>
    </row>
    <row r="28" spans="1:8" ht="49.95" customHeight="1" thickBot="1" x14ac:dyDescent="0.35">
      <c r="A28" s="38">
        <v>27</v>
      </c>
      <c r="B28" s="39" t="s">
        <v>227</v>
      </c>
      <c r="C28" s="40" t="s">
        <v>1072</v>
      </c>
      <c r="D28" s="40" t="s">
        <v>365</v>
      </c>
      <c r="E28" s="41" t="s">
        <v>1042</v>
      </c>
      <c r="F28" s="40" t="s">
        <v>1043</v>
      </c>
      <c r="G28" s="42">
        <v>2</v>
      </c>
      <c r="H28" s="39" t="s">
        <v>663</v>
      </c>
    </row>
    <row r="29" spans="1:8" ht="49.95" customHeight="1" thickBot="1" x14ac:dyDescent="0.35">
      <c r="A29" s="38">
        <v>28</v>
      </c>
      <c r="B29" s="39" t="s">
        <v>228</v>
      </c>
      <c r="C29" s="40" t="s">
        <v>23</v>
      </c>
      <c r="D29" s="40" t="s">
        <v>362</v>
      </c>
      <c r="E29" s="41" t="s">
        <v>1042</v>
      </c>
      <c r="F29" s="40" t="s">
        <v>1043</v>
      </c>
      <c r="G29" s="42">
        <v>2</v>
      </c>
      <c r="H29" s="39" t="s">
        <v>662</v>
      </c>
    </row>
    <row r="30" spans="1:8" ht="49.95" customHeight="1" thickBot="1" x14ac:dyDescent="0.35">
      <c r="A30" s="38">
        <v>29</v>
      </c>
      <c r="B30" s="39" t="s">
        <v>231</v>
      </c>
      <c r="C30" s="40" t="s">
        <v>1073</v>
      </c>
      <c r="D30" s="40" t="s">
        <v>362</v>
      </c>
      <c r="E30" s="41" t="s">
        <v>1042</v>
      </c>
      <c r="F30" s="40" t="s">
        <v>1043</v>
      </c>
      <c r="G30" s="42">
        <v>3</v>
      </c>
      <c r="H30" s="39" t="s">
        <v>1074</v>
      </c>
    </row>
    <row r="31" spans="1:8" ht="49.95" customHeight="1" thickBot="1" x14ac:dyDescent="0.35">
      <c r="A31" s="38">
        <v>30</v>
      </c>
      <c r="B31" s="39" t="s">
        <v>232</v>
      </c>
      <c r="C31" s="40" t="s">
        <v>1075</v>
      </c>
      <c r="D31" s="40" t="s">
        <v>365</v>
      </c>
      <c r="E31" s="41" t="s">
        <v>1042</v>
      </c>
      <c r="F31" s="40" t="s">
        <v>1043</v>
      </c>
      <c r="G31" s="42">
        <v>3</v>
      </c>
      <c r="H31" s="39" t="s">
        <v>712</v>
      </c>
    </row>
    <row r="32" spans="1:8" ht="49.95" customHeight="1" thickBot="1" x14ac:dyDescent="0.35">
      <c r="A32" s="38">
        <v>31</v>
      </c>
      <c r="B32" s="39" t="s">
        <v>233</v>
      </c>
      <c r="C32" s="40" t="s">
        <v>1076</v>
      </c>
      <c r="D32" s="40" t="s">
        <v>362</v>
      </c>
      <c r="E32" s="41" t="s">
        <v>1042</v>
      </c>
      <c r="F32" s="40" t="s">
        <v>1043</v>
      </c>
      <c r="G32" s="42">
        <v>2</v>
      </c>
      <c r="H32" s="39" t="s">
        <v>1077</v>
      </c>
    </row>
    <row r="33" spans="1:8" ht="49.95" customHeight="1" thickBot="1" x14ac:dyDescent="0.35">
      <c r="A33" s="38">
        <v>32</v>
      </c>
      <c r="B33" s="39" t="s">
        <v>234</v>
      </c>
      <c r="C33" s="40" t="s">
        <v>29</v>
      </c>
      <c r="D33" s="40" t="s">
        <v>363</v>
      </c>
      <c r="E33" s="41" t="s">
        <v>1051</v>
      </c>
      <c r="F33" s="40" t="s">
        <v>1043</v>
      </c>
      <c r="G33" s="42">
        <v>3</v>
      </c>
      <c r="H33" s="39" t="s">
        <v>694</v>
      </c>
    </row>
    <row r="34" spans="1:8" ht="49.95" customHeight="1" thickBot="1" x14ac:dyDescent="0.35">
      <c r="A34" s="38">
        <v>33</v>
      </c>
      <c r="B34" s="39" t="s">
        <v>235</v>
      </c>
      <c r="C34" s="40" t="s">
        <v>30</v>
      </c>
      <c r="D34" s="40" t="s">
        <v>362</v>
      </c>
      <c r="E34" s="41" t="s">
        <v>1045</v>
      </c>
      <c r="F34" s="40" t="s">
        <v>1043</v>
      </c>
      <c r="G34" s="42">
        <v>4</v>
      </c>
      <c r="H34" s="39" t="s">
        <v>691</v>
      </c>
    </row>
    <row r="35" spans="1:8" ht="49.95" customHeight="1" thickBot="1" x14ac:dyDescent="0.35">
      <c r="A35" s="38">
        <v>34</v>
      </c>
      <c r="B35" s="39" t="s">
        <v>221</v>
      </c>
      <c r="C35" s="40" t="s">
        <v>1078</v>
      </c>
      <c r="D35" s="40" t="s">
        <v>365</v>
      </c>
      <c r="E35" s="41" t="s">
        <v>1042</v>
      </c>
      <c r="F35" s="40" t="s">
        <v>1043</v>
      </c>
      <c r="G35" s="42">
        <v>3</v>
      </c>
      <c r="H35" s="39" t="s">
        <v>696</v>
      </c>
    </row>
    <row r="36" spans="1:8" ht="49.95" customHeight="1" thickBot="1" x14ac:dyDescent="0.35">
      <c r="A36" s="38">
        <v>35</v>
      </c>
      <c r="B36" s="39" t="s">
        <v>236</v>
      </c>
      <c r="C36" s="40" t="s">
        <v>32</v>
      </c>
      <c r="D36" s="40" t="s">
        <v>364</v>
      </c>
      <c r="E36" s="41" t="s">
        <v>1042</v>
      </c>
      <c r="F36" s="40" t="s">
        <v>1043</v>
      </c>
      <c r="G36" s="42">
        <v>4</v>
      </c>
      <c r="H36" s="39" t="s">
        <v>676</v>
      </c>
    </row>
    <row r="37" spans="1:8" ht="49.95" customHeight="1" thickBot="1" x14ac:dyDescent="0.35">
      <c r="A37" s="38">
        <v>36</v>
      </c>
      <c r="B37" s="39" t="s">
        <v>237</v>
      </c>
      <c r="C37" s="40" t="s">
        <v>1079</v>
      </c>
      <c r="D37" s="40" t="s">
        <v>362</v>
      </c>
      <c r="E37" s="41" t="s">
        <v>1042</v>
      </c>
      <c r="F37" s="40" t="s">
        <v>1043</v>
      </c>
      <c r="G37" s="42">
        <v>3</v>
      </c>
      <c r="H37" s="39" t="s">
        <v>1080</v>
      </c>
    </row>
    <row r="38" spans="1:8" ht="49.95" customHeight="1" thickBot="1" x14ac:dyDescent="0.35">
      <c r="A38" s="38">
        <v>37</v>
      </c>
      <c r="B38" s="39" t="s">
        <v>238</v>
      </c>
      <c r="C38" s="40" t="s">
        <v>1081</v>
      </c>
      <c r="D38" s="40" t="s">
        <v>364</v>
      </c>
      <c r="E38" s="41" t="s">
        <v>1042</v>
      </c>
      <c r="F38" s="40" t="s">
        <v>1043</v>
      </c>
      <c r="G38" s="42">
        <v>3</v>
      </c>
      <c r="H38" s="39" t="s">
        <v>713</v>
      </c>
    </row>
    <row r="39" spans="1:8" ht="49.95" customHeight="1" thickBot="1" x14ac:dyDescent="0.35">
      <c r="A39" s="38">
        <v>38</v>
      </c>
      <c r="B39" s="39" t="s">
        <v>240</v>
      </c>
      <c r="C39" s="40" t="s">
        <v>36</v>
      </c>
      <c r="D39" s="40" t="s">
        <v>362</v>
      </c>
      <c r="E39" s="41" t="s">
        <v>1042</v>
      </c>
      <c r="F39" s="40" t="s">
        <v>1043</v>
      </c>
      <c r="G39" s="42">
        <v>2</v>
      </c>
      <c r="H39" s="39" t="s">
        <v>683</v>
      </c>
    </row>
    <row r="40" spans="1:8" ht="49.95" customHeight="1" thickBot="1" x14ac:dyDescent="0.35">
      <c r="A40" s="38">
        <v>39</v>
      </c>
      <c r="B40" s="39" t="s">
        <v>239</v>
      </c>
      <c r="C40" s="40" t="s">
        <v>1082</v>
      </c>
      <c r="D40" s="40" t="s">
        <v>362</v>
      </c>
      <c r="E40" s="41" t="s">
        <v>1042</v>
      </c>
      <c r="F40" s="40" t="s">
        <v>1043</v>
      </c>
      <c r="G40" s="42">
        <v>3</v>
      </c>
      <c r="H40" s="39" t="s">
        <v>690</v>
      </c>
    </row>
    <row r="41" spans="1:8" ht="49.95" customHeight="1" thickBot="1" x14ac:dyDescent="0.35">
      <c r="A41" s="38">
        <v>40</v>
      </c>
      <c r="B41" s="39" t="s">
        <v>241</v>
      </c>
      <c r="C41" s="40" t="s">
        <v>1083</v>
      </c>
      <c r="D41" s="40" t="s">
        <v>362</v>
      </c>
      <c r="E41" s="41" t="s">
        <v>1042</v>
      </c>
      <c r="F41" s="40" t="s">
        <v>1043</v>
      </c>
      <c r="G41" s="42">
        <v>2</v>
      </c>
      <c r="H41" s="39" t="s">
        <v>1084</v>
      </c>
    </row>
    <row r="42" spans="1:8" ht="49.95" customHeight="1" thickBot="1" x14ac:dyDescent="0.35">
      <c r="A42" s="38">
        <v>41</v>
      </c>
      <c r="B42" s="39">
        <v>189</v>
      </c>
      <c r="C42" s="40" t="s">
        <v>1085</v>
      </c>
      <c r="D42" s="39" t="s">
        <v>366</v>
      </c>
      <c r="E42" s="41" t="s">
        <v>1045</v>
      </c>
      <c r="F42" s="40" t="s">
        <v>1043</v>
      </c>
      <c r="G42" s="42">
        <v>4</v>
      </c>
      <c r="H42" s="39" t="s">
        <v>718</v>
      </c>
    </row>
    <row r="43" spans="1:8" ht="49.95" customHeight="1" thickBot="1" x14ac:dyDescent="0.35">
      <c r="A43" s="38">
        <v>42</v>
      </c>
      <c r="B43" s="39" t="s">
        <v>242</v>
      </c>
      <c r="C43" s="40" t="s">
        <v>39</v>
      </c>
      <c r="D43" s="40" t="s">
        <v>362</v>
      </c>
      <c r="E43" s="41" t="s">
        <v>1042</v>
      </c>
      <c r="F43" s="40" t="s">
        <v>1043</v>
      </c>
      <c r="G43" s="42">
        <v>4</v>
      </c>
      <c r="H43" s="39" t="s">
        <v>685</v>
      </c>
    </row>
    <row r="44" spans="1:8" ht="49.95" customHeight="1" thickBot="1" x14ac:dyDescent="0.35">
      <c r="A44" s="38">
        <v>43</v>
      </c>
      <c r="B44" s="39" t="s">
        <v>243</v>
      </c>
      <c r="C44" s="40" t="s">
        <v>1086</v>
      </c>
      <c r="D44" s="40" t="s">
        <v>362</v>
      </c>
      <c r="E44" s="41" t="s">
        <v>1042</v>
      </c>
      <c r="F44" s="40" t="s">
        <v>1043</v>
      </c>
      <c r="G44" s="42">
        <v>3</v>
      </c>
      <c r="H44" s="39" t="s">
        <v>1087</v>
      </c>
    </row>
    <row r="45" spans="1:8" ht="49.95" customHeight="1" thickBot="1" x14ac:dyDescent="0.35">
      <c r="A45" s="38">
        <v>44</v>
      </c>
      <c r="B45" s="39" t="s">
        <v>248</v>
      </c>
      <c r="C45" s="40" t="s">
        <v>1088</v>
      </c>
      <c r="D45" s="40" t="s">
        <v>367</v>
      </c>
      <c r="E45" s="41" t="s">
        <v>1042</v>
      </c>
      <c r="F45" s="40" t="s">
        <v>1048</v>
      </c>
      <c r="G45" s="42">
        <v>2</v>
      </c>
      <c r="H45" s="39" t="s">
        <v>687</v>
      </c>
    </row>
    <row r="46" spans="1:8" ht="49.95" customHeight="1" thickBot="1" x14ac:dyDescent="0.35">
      <c r="A46" s="38">
        <v>45</v>
      </c>
      <c r="B46" s="39" t="s">
        <v>244</v>
      </c>
      <c r="C46" s="40" t="s">
        <v>1089</v>
      </c>
      <c r="D46" s="40" t="s">
        <v>367</v>
      </c>
      <c r="E46" s="41" t="s">
        <v>1042</v>
      </c>
      <c r="F46" s="40" t="s">
        <v>1043</v>
      </c>
      <c r="G46" s="42">
        <v>5</v>
      </c>
      <c r="H46" s="39" t="s">
        <v>680</v>
      </c>
    </row>
    <row r="47" spans="1:8" ht="49.95" customHeight="1" thickBot="1" x14ac:dyDescent="0.35">
      <c r="A47" s="38">
        <v>46</v>
      </c>
      <c r="B47" s="39" t="s">
        <v>246</v>
      </c>
      <c r="C47" s="40" t="s">
        <v>43</v>
      </c>
      <c r="D47" s="40" t="s">
        <v>368</v>
      </c>
      <c r="E47" s="41" t="s">
        <v>1045</v>
      </c>
      <c r="F47" s="40" t="s">
        <v>1043</v>
      </c>
      <c r="G47" s="42">
        <v>4</v>
      </c>
      <c r="H47" s="39" t="s">
        <v>1090</v>
      </c>
    </row>
    <row r="48" spans="1:8" ht="49.95" customHeight="1" thickBot="1" x14ac:dyDescent="0.35">
      <c r="A48" s="38">
        <v>47</v>
      </c>
      <c r="B48" s="39" t="s">
        <v>245</v>
      </c>
      <c r="C48" s="40" t="s">
        <v>42</v>
      </c>
      <c r="D48" s="40" t="s">
        <v>363</v>
      </c>
      <c r="E48" s="41" t="s">
        <v>1042</v>
      </c>
      <c r="F48" s="40" t="s">
        <v>1043</v>
      </c>
      <c r="G48" s="42">
        <v>4</v>
      </c>
      <c r="H48" s="39" t="s">
        <v>1091</v>
      </c>
    </row>
    <row r="49" spans="1:8" ht="49.95" customHeight="1" thickBot="1" x14ac:dyDescent="0.35">
      <c r="A49" s="38">
        <v>48</v>
      </c>
      <c r="B49" s="39" t="s">
        <v>247</v>
      </c>
      <c r="C49" s="40" t="s">
        <v>44</v>
      </c>
      <c r="D49" s="40" t="s">
        <v>367</v>
      </c>
      <c r="E49" s="41" t="s">
        <v>1042</v>
      </c>
      <c r="F49" s="40" t="s">
        <v>1048</v>
      </c>
      <c r="G49" s="42">
        <v>3</v>
      </c>
      <c r="H49" s="39" t="s">
        <v>681</v>
      </c>
    </row>
    <row r="50" spans="1:8" ht="49.95" customHeight="1" thickBot="1" x14ac:dyDescent="0.35">
      <c r="A50" s="38">
        <v>49</v>
      </c>
      <c r="B50" s="39" t="s">
        <v>249</v>
      </c>
      <c r="C50" s="40" t="s">
        <v>1092</v>
      </c>
      <c r="D50" s="40" t="s">
        <v>365</v>
      </c>
      <c r="E50" s="41" t="s">
        <v>1042</v>
      </c>
      <c r="F50" s="40" t="s">
        <v>1043</v>
      </c>
      <c r="G50" s="42">
        <v>3</v>
      </c>
      <c r="H50" s="39" t="s">
        <v>842</v>
      </c>
    </row>
    <row r="51" spans="1:8" ht="49.95" customHeight="1" thickBot="1" x14ac:dyDescent="0.35">
      <c r="A51" s="38">
        <v>50</v>
      </c>
      <c r="B51" s="39" t="s">
        <v>278</v>
      </c>
      <c r="C51" s="40" t="s">
        <v>1093</v>
      </c>
      <c r="D51" s="40" t="s">
        <v>371</v>
      </c>
      <c r="E51" s="41" t="s">
        <v>1042</v>
      </c>
      <c r="F51" s="40" t="s">
        <v>1043</v>
      </c>
      <c r="G51" s="42">
        <v>4</v>
      </c>
      <c r="H51" s="39" t="s">
        <v>1094</v>
      </c>
    </row>
    <row r="52" spans="1:8" ht="49.95" customHeight="1" thickBot="1" x14ac:dyDescent="0.35">
      <c r="A52" s="38">
        <v>51</v>
      </c>
      <c r="B52" s="39" t="s">
        <v>251</v>
      </c>
      <c r="C52" s="40" t="s">
        <v>1095</v>
      </c>
      <c r="D52" s="40" t="s">
        <v>365</v>
      </c>
      <c r="E52" s="41" t="s">
        <v>1042</v>
      </c>
      <c r="F52" s="40" t="s">
        <v>1043</v>
      </c>
      <c r="G52" s="42">
        <v>3</v>
      </c>
      <c r="H52" s="39" t="s">
        <v>1096</v>
      </c>
    </row>
    <row r="53" spans="1:8" ht="49.95" customHeight="1" thickBot="1" x14ac:dyDescent="0.35">
      <c r="A53" s="38">
        <v>52</v>
      </c>
      <c r="B53" s="39" t="s">
        <v>250</v>
      </c>
      <c r="C53" s="40" t="s">
        <v>1097</v>
      </c>
      <c r="D53" s="40" t="s">
        <v>362</v>
      </c>
      <c r="E53" s="41" t="s">
        <v>1042</v>
      </c>
      <c r="F53" s="40" t="s">
        <v>1043</v>
      </c>
      <c r="G53" s="42">
        <v>4</v>
      </c>
      <c r="H53" s="39" t="s">
        <v>702</v>
      </c>
    </row>
    <row r="54" spans="1:8" ht="49.95" customHeight="1" thickBot="1" x14ac:dyDescent="0.35">
      <c r="A54" s="38">
        <v>53</v>
      </c>
      <c r="B54" s="39" t="s">
        <v>252</v>
      </c>
      <c r="C54" s="40" t="s">
        <v>1098</v>
      </c>
      <c r="D54" s="40" t="s">
        <v>362</v>
      </c>
      <c r="E54" s="41" t="s">
        <v>1042</v>
      </c>
      <c r="F54" s="40" t="s">
        <v>1043</v>
      </c>
      <c r="G54" s="42">
        <v>3</v>
      </c>
      <c r="H54" s="39" t="s">
        <v>686</v>
      </c>
    </row>
    <row r="55" spans="1:8" ht="49.95" customHeight="1" thickBot="1" x14ac:dyDescent="0.35">
      <c r="A55" s="38">
        <v>54</v>
      </c>
      <c r="B55" s="39" t="s">
        <v>253</v>
      </c>
      <c r="C55" s="40" t="s">
        <v>1099</v>
      </c>
      <c r="D55" s="40" t="s">
        <v>367</v>
      </c>
      <c r="E55" s="41" t="s">
        <v>1042</v>
      </c>
      <c r="F55" s="40" t="s">
        <v>1043</v>
      </c>
      <c r="G55" s="42">
        <v>2</v>
      </c>
      <c r="H55" s="39" t="s">
        <v>722</v>
      </c>
    </row>
    <row r="56" spans="1:8" ht="49.95" customHeight="1" thickBot="1" x14ac:dyDescent="0.35">
      <c r="A56" s="38">
        <v>55</v>
      </c>
      <c r="B56" s="39" t="s">
        <v>254</v>
      </c>
      <c r="C56" s="40" t="s">
        <v>51</v>
      </c>
      <c r="D56" s="40" t="s">
        <v>364</v>
      </c>
      <c r="E56" s="41" t="s">
        <v>1042</v>
      </c>
      <c r="F56" s="40" t="s">
        <v>1043</v>
      </c>
      <c r="G56" s="42">
        <v>4</v>
      </c>
      <c r="H56" s="39" t="s">
        <v>797</v>
      </c>
    </row>
    <row r="57" spans="1:8" ht="49.95" customHeight="1" thickBot="1" x14ac:dyDescent="0.35">
      <c r="A57" s="38">
        <v>56</v>
      </c>
      <c r="B57" s="39" t="s">
        <v>1031</v>
      </c>
      <c r="C57" s="40" t="s">
        <v>1100</v>
      </c>
      <c r="D57" s="40" t="s">
        <v>388</v>
      </c>
      <c r="E57" s="41" t="s">
        <v>1042</v>
      </c>
      <c r="F57" s="40" t="s">
        <v>1043</v>
      </c>
      <c r="G57" s="42">
        <v>4</v>
      </c>
      <c r="H57" s="39" t="s">
        <v>924</v>
      </c>
    </row>
    <row r="58" spans="1:8" ht="49.95" customHeight="1" thickBot="1" x14ac:dyDescent="0.35">
      <c r="A58" s="38">
        <v>57</v>
      </c>
      <c r="B58" s="39" t="s">
        <v>256</v>
      </c>
      <c r="C58" s="40" t="s">
        <v>1101</v>
      </c>
      <c r="D58" s="40" t="s">
        <v>367</v>
      </c>
      <c r="E58" s="41" t="s">
        <v>1042</v>
      </c>
      <c r="F58" s="40" t="s">
        <v>1043</v>
      </c>
      <c r="G58" s="42">
        <v>3</v>
      </c>
      <c r="H58" s="39" t="s">
        <v>703</v>
      </c>
    </row>
    <row r="59" spans="1:8" ht="49.95" customHeight="1" thickBot="1" x14ac:dyDescent="0.35">
      <c r="A59" s="38">
        <v>58</v>
      </c>
      <c r="B59" s="39" t="s">
        <v>257</v>
      </c>
      <c r="C59" s="40" t="s">
        <v>1102</v>
      </c>
      <c r="D59" s="40" t="s">
        <v>367</v>
      </c>
      <c r="E59" s="41" t="s">
        <v>1042</v>
      </c>
      <c r="F59" s="40" t="s">
        <v>1043</v>
      </c>
      <c r="G59" s="42">
        <v>3</v>
      </c>
      <c r="H59" s="39" t="s">
        <v>693</v>
      </c>
    </row>
    <row r="60" spans="1:8" ht="49.95" customHeight="1" thickBot="1" x14ac:dyDescent="0.35">
      <c r="A60" s="38">
        <v>59</v>
      </c>
      <c r="B60" s="39">
        <v>230637</v>
      </c>
      <c r="C60" s="40" t="s">
        <v>1103</v>
      </c>
      <c r="D60" s="40" t="s">
        <v>368</v>
      </c>
      <c r="E60" s="41" t="s">
        <v>1042</v>
      </c>
      <c r="F60" s="40" t="s">
        <v>1043</v>
      </c>
      <c r="G60" s="42">
        <v>4</v>
      </c>
      <c r="H60" s="39" t="s">
        <v>839</v>
      </c>
    </row>
    <row r="61" spans="1:8" ht="49.95" customHeight="1" thickBot="1" x14ac:dyDescent="0.35">
      <c r="A61" s="38">
        <v>60</v>
      </c>
      <c r="B61" s="39" t="s">
        <v>259</v>
      </c>
      <c r="C61" s="40" t="s">
        <v>57</v>
      </c>
      <c r="D61" s="40" t="s">
        <v>364</v>
      </c>
      <c r="E61" s="41" t="s">
        <v>1045</v>
      </c>
      <c r="F61" s="40" t="s">
        <v>1043</v>
      </c>
      <c r="G61" s="42">
        <v>4</v>
      </c>
      <c r="H61" s="39" t="s">
        <v>1104</v>
      </c>
    </row>
    <row r="62" spans="1:8" ht="49.95" customHeight="1" thickBot="1" x14ac:dyDescent="0.35">
      <c r="A62" s="38">
        <v>61</v>
      </c>
      <c r="B62" s="39" t="s">
        <v>260</v>
      </c>
      <c r="C62" s="40" t="s">
        <v>1105</v>
      </c>
      <c r="D62" s="40" t="s">
        <v>364</v>
      </c>
      <c r="E62" s="41" t="s">
        <v>1051</v>
      </c>
      <c r="F62" s="40" t="s">
        <v>1043</v>
      </c>
      <c r="G62" s="42">
        <v>4</v>
      </c>
      <c r="H62" s="39" t="s">
        <v>1106</v>
      </c>
    </row>
    <row r="63" spans="1:8" ht="49.95" customHeight="1" thickBot="1" x14ac:dyDescent="0.35">
      <c r="A63" s="38">
        <v>62</v>
      </c>
      <c r="B63" s="39" t="s">
        <v>258</v>
      </c>
      <c r="C63" s="40" t="s">
        <v>1107</v>
      </c>
      <c r="D63" s="40" t="s">
        <v>368</v>
      </c>
      <c r="E63" s="41" t="s">
        <v>1042</v>
      </c>
      <c r="F63" s="40" t="s">
        <v>1043</v>
      </c>
      <c r="G63" s="42">
        <v>3</v>
      </c>
      <c r="H63" s="39" t="s">
        <v>746</v>
      </c>
    </row>
    <row r="64" spans="1:8" ht="49.95" customHeight="1" thickBot="1" x14ac:dyDescent="0.35">
      <c r="A64" s="38">
        <v>63</v>
      </c>
      <c r="B64" s="39" t="s">
        <v>255</v>
      </c>
      <c r="C64" s="40" t="s">
        <v>1108</v>
      </c>
      <c r="D64" s="40" t="s">
        <v>367</v>
      </c>
      <c r="E64" s="41" t="s">
        <v>1042</v>
      </c>
      <c r="F64" s="40" t="s">
        <v>1043</v>
      </c>
      <c r="G64" s="43">
        <v>2</v>
      </c>
      <c r="H64" s="40" t="s">
        <v>1109</v>
      </c>
    </row>
    <row r="65" spans="1:8" ht="49.95" customHeight="1" thickBot="1" x14ac:dyDescent="0.35">
      <c r="A65" s="38">
        <v>64</v>
      </c>
      <c r="B65" s="39" t="s">
        <v>595</v>
      </c>
      <c r="C65" s="40" t="s">
        <v>598</v>
      </c>
      <c r="D65" s="40" t="s">
        <v>367</v>
      </c>
      <c r="E65" s="41" t="s">
        <v>1042</v>
      </c>
      <c r="F65" s="40" t="s">
        <v>1043</v>
      </c>
      <c r="G65" s="42">
        <v>3</v>
      </c>
      <c r="H65" s="39" t="s">
        <v>927</v>
      </c>
    </row>
    <row r="66" spans="1:8" ht="49.95" customHeight="1" thickBot="1" x14ac:dyDescent="0.35">
      <c r="A66" s="38">
        <v>65</v>
      </c>
      <c r="B66" s="39" t="s">
        <v>265</v>
      </c>
      <c r="C66" s="40" t="s">
        <v>1110</v>
      </c>
      <c r="D66" s="40" t="s">
        <v>368</v>
      </c>
      <c r="E66" s="41" t="s">
        <v>1042</v>
      </c>
      <c r="F66" s="40" t="s">
        <v>1043</v>
      </c>
      <c r="G66" s="42">
        <v>3</v>
      </c>
      <c r="H66" s="39" t="s">
        <v>751</v>
      </c>
    </row>
    <row r="67" spans="1:8" ht="49.95" customHeight="1" thickBot="1" x14ac:dyDescent="0.35">
      <c r="A67" s="38">
        <v>66</v>
      </c>
      <c r="B67" s="39" t="s">
        <v>261</v>
      </c>
      <c r="C67" s="40" t="s">
        <v>59</v>
      </c>
      <c r="D67" s="40" t="s">
        <v>362</v>
      </c>
      <c r="E67" s="41" t="s">
        <v>1042</v>
      </c>
      <c r="F67" s="40" t="s">
        <v>1048</v>
      </c>
      <c r="G67" s="42">
        <v>4</v>
      </c>
      <c r="H67" s="39" t="s">
        <v>701</v>
      </c>
    </row>
    <row r="68" spans="1:8" ht="49.95" customHeight="1" thickBot="1" x14ac:dyDescent="0.35">
      <c r="A68" s="38">
        <v>67</v>
      </c>
      <c r="B68" s="39" t="s">
        <v>262</v>
      </c>
      <c r="C68" s="40" t="s">
        <v>1111</v>
      </c>
      <c r="D68" s="40" t="s">
        <v>367</v>
      </c>
      <c r="E68" s="41" t="s">
        <v>1042</v>
      </c>
      <c r="F68" s="40" t="s">
        <v>1048</v>
      </c>
      <c r="G68" s="42">
        <v>4</v>
      </c>
      <c r="H68" s="44" t="s">
        <v>1112</v>
      </c>
    </row>
    <row r="69" spans="1:8" ht="49.95" customHeight="1" thickBot="1" x14ac:dyDescent="0.35">
      <c r="A69" s="38">
        <v>68</v>
      </c>
      <c r="B69" s="39" t="s">
        <v>263</v>
      </c>
      <c r="C69" s="40" t="s">
        <v>1113</v>
      </c>
      <c r="D69" s="40" t="s">
        <v>369</v>
      </c>
      <c r="E69" s="41" t="s">
        <v>1042</v>
      </c>
      <c r="F69" s="40" t="s">
        <v>1043</v>
      </c>
      <c r="G69" s="42">
        <v>5</v>
      </c>
      <c r="H69" s="39" t="s">
        <v>704</v>
      </c>
    </row>
    <row r="70" spans="1:8" ht="49.95" customHeight="1" thickBot="1" x14ac:dyDescent="0.35">
      <c r="A70" s="38">
        <v>69</v>
      </c>
      <c r="B70" s="39">
        <v>188</v>
      </c>
      <c r="C70" s="40" t="s">
        <v>1114</v>
      </c>
      <c r="D70" s="40" t="s">
        <v>361</v>
      </c>
      <c r="E70" s="41" t="s">
        <v>1042</v>
      </c>
      <c r="F70" s="40" t="s">
        <v>1043</v>
      </c>
      <c r="G70" s="42">
        <v>2</v>
      </c>
      <c r="H70" s="39" t="s">
        <v>692</v>
      </c>
    </row>
    <row r="71" spans="1:8" ht="49.95" customHeight="1" thickBot="1" x14ac:dyDescent="0.35">
      <c r="A71" s="38">
        <v>70</v>
      </c>
      <c r="B71" s="39" t="s">
        <v>268</v>
      </c>
      <c r="C71" s="40" t="s">
        <v>65</v>
      </c>
      <c r="D71" s="40" t="s">
        <v>362</v>
      </c>
      <c r="E71" s="41" t="s">
        <v>1051</v>
      </c>
      <c r="F71" s="40" t="s">
        <v>1043</v>
      </c>
      <c r="G71" s="43">
        <v>3</v>
      </c>
      <c r="H71" s="40" t="s">
        <v>707</v>
      </c>
    </row>
    <row r="72" spans="1:8" ht="49.95" customHeight="1" thickBot="1" x14ac:dyDescent="0.35">
      <c r="A72" s="38">
        <v>71</v>
      </c>
      <c r="B72" s="39" t="s">
        <v>266</v>
      </c>
      <c r="C72" s="40" t="s">
        <v>1115</v>
      </c>
      <c r="D72" s="40" t="s">
        <v>362</v>
      </c>
      <c r="E72" s="41" t="s">
        <v>1042</v>
      </c>
      <c r="F72" s="40" t="s">
        <v>1043</v>
      </c>
      <c r="G72" s="42">
        <v>4</v>
      </c>
      <c r="H72" s="39" t="s">
        <v>1116</v>
      </c>
    </row>
    <row r="73" spans="1:8" ht="49.95" customHeight="1" thickBot="1" x14ac:dyDescent="0.35">
      <c r="A73" s="38">
        <v>72</v>
      </c>
      <c r="B73" s="39">
        <v>230169</v>
      </c>
      <c r="C73" s="40" t="s">
        <v>1117</v>
      </c>
      <c r="D73" s="40" t="s">
        <v>368</v>
      </c>
      <c r="E73" s="41" t="s">
        <v>1042</v>
      </c>
      <c r="F73" s="40" t="s">
        <v>1043</v>
      </c>
      <c r="G73" s="42">
        <v>3</v>
      </c>
      <c r="H73" s="39" t="s">
        <v>1118</v>
      </c>
    </row>
    <row r="74" spans="1:8" ht="49.95" customHeight="1" thickBot="1" x14ac:dyDescent="0.35">
      <c r="A74" s="38">
        <v>73</v>
      </c>
      <c r="B74" s="39" t="s">
        <v>264</v>
      </c>
      <c r="C74" s="40" t="s">
        <v>1114</v>
      </c>
      <c r="D74" s="40" t="s">
        <v>368</v>
      </c>
      <c r="E74" s="41" t="s">
        <v>1042</v>
      </c>
      <c r="F74" s="40" t="s">
        <v>1043</v>
      </c>
      <c r="G74" s="42">
        <v>2</v>
      </c>
      <c r="H74" s="39" t="s">
        <v>1119</v>
      </c>
    </row>
    <row r="75" spans="1:8" ht="49.95" customHeight="1" thickBot="1" x14ac:dyDescent="0.35">
      <c r="A75" s="38">
        <v>74</v>
      </c>
      <c r="B75" s="39" t="s">
        <v>270</v>
      </c>
      <c r="C75" s="40" t="s">
        <v>67</v>
      </c>
      <c r="D75" s="40" t="s">
        <v>367</v>
      </c>
      <c r="E75" s="41" t="s">
        <v>1042</v>
      </c>
      <c r="F75" s="40" t="s">
        <v>1043</v>
      </c>
      <c r="G75" s="42">
        <v>3</v>
      </c>
      <c r="H75" s="39" t="s">
        <v>698</v>
      </c>
    </row>
    <row r="76" spans="1:8" ht="49.95" customHeight="1" thickBot="1" x14ac:dyDescent="0.35">
      <c r="A76" s="38">
        <v>75</v>
      </c>
      <c r="B76" s="39" t="s">
        <v>271</v>
      </c>
      <c r="C76" s="40" t="s">
        <v>1120</v>
      </c>
      <c r="D76" s="40" t="s">
        <v>368</v>
      </c>
      <c r="E76" s="41" t="s">
        <v>1042</v>
      </c>
      <c r="F76" s="40" t="s">
        <v>1043</v>
      </c>
      <c r="G76" s="42">
        <v>4</v>
      </c>
      <c r="H76" s="39" t="s">
        <v>706</v>
      </c>
    </row>
    <row r="77" spans="1:8" ht="49.95" customHeight="1" thickBot="1" x14ac:dyDescent="0.35">
      <c r="A77" s="38">
        <v>76</v>
      </c>
      <c r="B77" s="39" t="s">
        <v>272</v>
      </c>
      <c r="C77" s="40" t="s">
        <v>69</v>
      </c>
      <c r="D77" s="40" t="s">
        <v>363</v>
      </c>
      <c r="E77" s="41" t="s">
        <v>1042</v>
      </c>
      <c r="F77" s="40" t="s">
        <v>1043</v>
      </c>
      <c r="G77" s="42">
        <v>3</v>
      </c>
      <c r="H77" s="39" t="s">
        <v>728</v>
      </c>
    </row>
    <row r="78" spans="1:8" ht="49.95" customHeight="1" thickBot="1" x14ac:dyDescent="0.35">
      <c r="A78" s="38">
        <v>77</v>
      </c>
      <c r="B78" s="39" t="s">
        <v>269</v>
      </c>
      <c r="C78" s="40" t="s">
        <v>1121</v>
      </c>
      <c r="D78" s="40" t="s">
        <v>367</v>
      </c>
      <c r="E78" s="41" t="s">
        <v>1042</v>
      </c>
      <c r="F78" s="40" t="s">
        <v>1043</v>
      </c>
      <c r="G78" s="42">
        <v>3</v>
      </c>
      <c r="H78" s="39" t="s">
        <v>749</v>
      </c>
    </row>
    <row r="79" spans="1:8" ht="49.95" customHeight="1" thickBot="1" x14ac:dyDescent="0.35">
      <c r="A79" s="38">
        <v>78</v>
      </c>
      <c r="B79" s="39" t="s">
        <v>273</v>
      </c>
      <c r="C79" s="40" t="s">
        <v>1122</v>
      </c>
      <c r="D79" s="40" t="s">
        <v>368</v>
      </c>
      <c r="E79" s="41" t="s">
        <v>1042</v>
      </c>
      <c r="F79" s="40" t="s">
        <v>1043</v>
      </c>
      <c r="G79" s="42">
        <v>4</v>
      </c>
      <c r="H79" s="39" t="s">
        <v>721</v>
      </c>
    </row>
    <row r="80" spans="1:8" ht="49.95" customHeight="1" thickBot="1" x14ac:dyDescent="0.35">
      <c r="A80" s="38">
        <v>79</v>
      </c>
      <c r="B80" s="40" t="s">
        <v>274</v>
      </c>
      <c r="C80" s="40" t="s">
        <v>1123</v>
      </c>
      <c r="D80" s="40" t="s">
        <v>363</v>
      </c>
      <c r="E80" s="41" t="s">
        <v>1042</v>
      </c>
      <c r="F80" s="40" t="s">
        <v>1043</v>
      </c>
      <c r="G80" s="43">
        <v>3</v>
      </c>
      <c r="H80" s="40" t="s">
        <v>1124</v>
      </c>
    </row>
    <row r="81" spans="1:8" ht="49.95" customHeight="1" thickBot="1" x14ac:dyDescent="0.35">
      <c r="A81" s="38">
        <v>80</v>
      </c>
      <c r="B81" s="39" t="s">
        <v>275</v>
      </c>
      <c r="C81" s="40" t="s">
        <v>1125</v>
      </c>
      <c r="D81" s="40" t="s">
        <v>368</v>
      </c>
      <c r="E81" s="41" t="s">
        <v>1042</v>
      </c>
      <c r="F81" s="40" t="s">
        <v>1043</v>
      </c>
      <c r="G81" s="42">
        <v>3</v>
      </c>
      <c r="H81" s="39" t="s">
        <v>809</v>
      </c>
    </row>
    <row r="82" spans="1:8" ht="49.95" customHeight="1" thickBot="1" x14ac:dyDescent="0.35">
      <c r="A82" s="38">
        <v>81</v>
      </c>
      <c r="B82" s="39">
        <v>190</v>
      </c>
      <c r="C82" s="40" t="s">
        <v>1126</v>
      </c>
      <c r="D82" s="40" t="s">
        <v>361</v>
      </c>
      <c r="E82" s="41" t="s">
        <v>1042</v>
      </c>
      <c r="F82" s="40" t="s">
        <v>1043</v>
      </c>
      <c r="G82" s="42">
        <v>4</v>
      </c>
      <c r="H82" s="39" t="s">
        <v>714</v>
      </c>
    </row>
    <row r="83" spans="1:8" ht="49.95" customHeight="1" thickBot="1" x14ac:dyDescent="0.35">
      <c r="A83" s="38">
        <v>82</v>
      </c>
      <c r="B83" s="39" t="s">
        <v>276</v>
      </c>
      <c r="C83" s="40" t="s">
        <v>1127</v>
      </c>
      <c r="D83" s="40" t="s">
        <v>370</v>
      </c>
      <c r="E83" s="41" t="s">
        <v>1042</v>
      </c>
      <c r="F83" s="40" t="s">
        <v>1043</v>
      </c>
      <c r="G83" s="42">
        <v>2</v>
      </c>
      <c r="H83" s="39" t="s">
        <v>710</v>
      </c>
    </row>
    <row r="84" spans="1:8" ht="49.95" customHeight="1" thickBot="1" x14ac:dyDescent="0.35">
      <c r="A84" s="38">
        <v>83</v>
      </c>
      <c r="B84" s="39" t="s">
        <v>1128</v>
      </c>
      <c r="C84" s="40" t="s">
        <v>1129</v>
      </c>
      <c r="D84" s="40" t="s">
        <v>367</v>
      </c>
      <c r="E84" s="41" t="s">
        <v>1042</v>
      </c>
      <c r="F84" s="40" t="s">
        <v>1043</v>
      </c>
      <c r="G84" s="42">
        <v>3</v>
      </c>
      <c r="H84" s="39" t="s">
        <v>729</v>
      </c>
    </row>
    <row r="85" spans="1:8" ht="49.95" customHeight="1" thickBot="1" x14ac:dyDescent="0.35">
      <c r="A85" s="38">
        <v>84</v>
      </c>
      <c r="B85" s="39" t="s">
        <v>279</v>
      </c>
      <c r="C85" s="40" t="s">
        <v>1130</v>
      </c>
      <c r="D85" s="40" t="s">
        <v>371</v>
      </c>
      <c r="E85" s="41" t="s">
        <v>1042</v>
      </c>
      <c r="F85" s="40" t="s">
        <v>1043</v>
      </c>
      <c r="G85" s="42">
        <v>4</v>
      </c>
      <c r="H85" s="39" t="s">
        <v>775</v>
      </c>
    </row>
    <row r="86" spans="1:8" ht="49.95" customHeight="1" thickBot="1" x14ac:dyDescent="0.35">
      <c r="A86" s="38">
        <v>85</v>
      </c>
      <c r="B86" s="39" t="s">
        <v>1131</v>
      </c>
      <c r="C86" s="40" t="s">
        <v>1132</v>
      </c>
      <c r="D86" s="40" t="s">
        <v>383</v>
      </c>
      <c r="E86" s="41" t="s">
        <v>1042</v>
      </c>
      <c r="F86" s="40" t="s">
        <v>1043</v>
      </c>
      <c r="G86" s="42">
        <v>3</v>
      </c>
      <c r="H86" s="39" t="s">
        <v>1133</v>
      </c>
    </row>
    <row r="87" spans="1:8" ht="49.95" customHeight="1" thickBot="1" x14ac:dyDescent="0.35">
      <c r="A87" s="38">
        <v>86</v>
      </c>
      <c r="B87" s="39" t="s">
        <v>596</v>
      </c>
      <c r="C87" s="40" t="s">
        <v>1134</v>
      </c>
      <c r="D87" s="40" t="s">
        <v>368</v>
      </c>
      <c r="E87" s="41" t="s">
        <v>1042</v>
      </c>
      <c r="F87" s="40" t="s">
        <v>1043</v>
      </c>
      <c r="G87" s="42">
        <v>3</v>
      </c>
      <c r="H87" s="39" t="s">
        <v>928</v>
      </c>
    </row>
    <row r="88" spans="1:8" ht="49.95" customHeight="1" thickBot="1" x14ac:dyDescent="0.35">
      <c r="A88" s="38">
        <v>87</v>
      </c>
      <c r="B88" s="39" t="s">
        <v>280</v>
      </c>
      <c r="C88" s="40" t="s">
        <v>1135</v>
      </c>
      <c r="D88" s="40" t="s">
        <v>367</v>
      </c>
      <c r="E88" s="41" t="s">
        <v>1042</v>
      </c>
      <c r="F88" s="40" t="s">
        <v>1043</v>
      </c>
      <c r="G88" s="43">
        <v>3</v>
      </c>
      <c r="H88" s="40" t="s">
        <v>1136</v>
      </c>
    </row>
    <row r="89" spans="1:8" ht="49.95" customHeight="1" thickBot="1" x14ac:dyDescent="0.35">
      <c r="A89" s="38">
        <v>88</v>
      </c>
      <c r="B89" s="39">
        <v>230052</v>
      </c>
      <c r="C89" s="40" t="s">
        <v>1137</v>
      </c>
      <c r="D89" s="40" t="s">
        <v>368</v>
      </c>
      <c r="E89" s="41" t="s">
        <v>1042</v>
      </c>
      <c r="F89" s="40" t="s">
        <v>1043</v>
      </c>
      <c r="G89" s="42">
        <v>3</v>
      </c>
      <c r="H89" s="39" t="s">
        <v>801</v>
      </c>
    </row>
    <row r="90" spans="1:8" ht="49.95" customHeight="1" thickBot="1" x14ac:dyDescent="0.35">
      <c r="A90" s="38">
        <v>89</v>
      </c>
      <c r="B90" s="39">
        <v>191</v>
      </c>
      <c r="C90" s="40" t="s">
        <v>1138</v>
      </c>
      <c r="D90" s="40" t="s">
        <v>361</v>
      </c>
      <c r="E90" s="41" t="s">
        <v>1042</v>
      </c>
      <c r="F90" s="40" t="s">
        <v>1043</v>
      </c>
      <c r="G90" s="42">
        <v>3</v>
      </c>
      <c r="H90" s="39" t="s">
        <v>689</v>
      </c>
    </row>
    <row r="91" spans="1:8" ht="49.95" customHeight="1" thickBot="1" x14ac:dyDescent="0.35">
      <c r="A91" s="38">
        <v>90</v>
      </c>
      <c r="B91" s="39" t="s">
        <v>281</v>
      </c>
      <c r="C91" s="40" t="s">
        <v>81</v>
      </c>
      <c r="D91" s="40" t="s">
        <v>371</v>
      </c>
      <c r="E91" s="41" t="s">
        <v>1045</v>
      </c>
      <c r="F91" s="40" t="s">
        <v>1043</v>
      </c>
      <c r="G91" s="42">
        <v>2</v>
      </c>
      <c r="H91" s="39" t="s">
        <v>708</v>
      </c>
    </row>
    <row r="92" spans="1:8" ht="49.95" customHeight="1" thickBot="1" x14ac:dyDescent="0.35">
      <c r="A92" s="38">
        <v>91</v>
      </c>
      <c r="B92" s="39" t="s">
        <v>282</v>
      </c>
      <c r="C92" s="40" t="s">
        <v>82</v>
      </c>
      <c r="D92" s="40" t="s">
        <v>368</v>
      </c>
      <c r="E92" s="41" t="s">
        <v>1042</v>
      </c>
      <c r="F92" s="40" t="s">
        <v>1048</v>
      </c>
      <c r="G92" s="42">
        <v>2</v>
      </c>
      <c r="H92" s="39" t="s">
        <v>716</v>
      </c>
    </row>
    <row r="93" spans="1:8" ht="49.95" customHeight="1" thickBot="1" x14ac:dyDescent="0.35">
      <c r="A93" s="38">
        <v>92</v>
      </c>
      <c r="B93" s="39">
        <v>192</v>
      </c>
      <c r="C93" s="40" t="s">
        <v>83</v>
      </c>
      <c r="D93" s="40" t="s">
        <v>361</v>
      </c>
      <c r="E93" s="41" t="s">
        <v>1051</v>
      </c>
      <c r="F93" s="40" t="s">
        <v>1043</v>
      </c>
      <c r="G93" s="42">
        <v>4</v>
      </c>
      <c r="H93" s="39" t="s">
        <v>1139</v>
      </c>
    </row>
    <row r="94" spans="1:8" ht="49.95" customHeight="1" thickBot="1" x14ac:dyDescent="0.35">
      <c r="A94" s="38">
        <v>93</v>
      </c>
      <c r="B94" s="39" t="s">
        <v>283</v>
      </c>
      <c r="C94" s="40" t="s">
        <v>1140</v>
      </c>
      <c r="D94" s="40" t="s">
        <v>368</v>
      </c>
      <c r="E94" s="41" t="s">
        <v>1042</v>
      </c>
      <c r="F94" s="40" t="s">
        <v>1043</v>
      </c>
      <c r="G94" s="42">
        <v>2</v>
      </c>
      <c r="H94" s="39" t="s">
        <v>1141</v>
      </c>
    </row>
    <row r="95" spans="1:8" ht="49.95" customHeight="1" thickBot="1" x14ac:dyDescent="0.35">
      <c r="A95" s="38">
        <v>94</v>
      </c>
      <c r="B95" s="39" t="s">
        <v>285</v>
      </c>
      <c r="C95" s="40" t="s">
        <v>86</v>
      </c>
      <c r="D95" s="40" t="s">
        <v>368</v>
      </c>
      <c r="E95" s="41" t="s">
        <v>1042</v>
      </c>
      <c r="F95" s="40" t="s">
        <v>1043</v>
      </c>
      <c r="G95" s="42">
        <v>3</v>
      </c>
      <c r="H95" s="39" t="s">
        <v>724</v>
      </c>
    </row>
    <row r="96" spans="1:8" ht="49.95" customHeight="1" thickBot="1" x14ac:dyDescent="0.35">
      <c r="A96" s="38">
        <v>95</v>
      </c>
      <c r="B96" s="39" t="s">
        <v>597</v>
      </c>
      <c r="C96" s="40" t="s">
        <v>1142</v>
      </c>
      <c r="D96" s="39" t="s">
        <v>534</v>
      </c>
      <c r="E96" s="41" t="s">
        <v>1042</v>
      </c>
      <c r="F96" s="40" t="s">
        <v>1043</v>
      </c>
      <c r="G96" s="42">
        <v>3</v>
      </c>
      <c r="H96" s="39" t="s">
        <v>929</v>
      </c>
    </row>
    <row r="97" spans="1:8" ht="49.95" customHeight="1" thickBot="1" x14ac:dyDescent="0.35">
      <c r="A97" s="38">
        <v>96</v>
      </c>
      <c r="B97" s="39" t="s">
        <v>284</v>
      </c>
      <c r="C97" s="40" t="s">
        <v>1143</v>
      </c>
      <c r="D97" s="40" t="s">
        <v>368</v>
      </c>
      <c r="E97" s="41" t="s">
        <v>1042</v>
      </c>
      <c r="F97" s="40" t="s">
        <v>1043</v>
      </c>
      <c r="G97" s="42">
        <v>2</v>
      </c>
      <c r="H97" s="39" t="s">
        <v>1144</v>
      </c>
    </row>
    <row r="98" spans="1:8" ht="49.95" customHeight="1" thickBot="1" x14ac:dyDescent="0.35">
      <c r="A98" s="38">
        <v>97</v>
      </c>
      <c r="B98" s="39" t="s">
        <v>286</v>
      </c>
      <c r="C98" s="40" t="s">
        <v>1145</v>
      </c>
      <c r="D98" s="40" t="s">
        <v>368</v>
      </c>
      <c r="E98" s="41" t="s">
        <v>1042</v>
      </c>
      <c r="F98" s="40" t="s">
        <v>1043</v>
      </c>
      <c r="G98" s="42">
        <v>3</v>
      </c>
      <c r="H98" s="39" t="s">
        <v>779</v>
      </c>
    </row>
    <row r="99" spans="1:8" ht="49.95" customHeight="1" thickBot="1" x14ac:dyDescent="0.35">
      <c r="A99" s="38">
        <v>98</v>
      </c>
      <c r="B99" s="39" t="s">
        <v>1146</v>
      </c>
      <c r="C99" s="40" t="s">
        <v>1147</v>
      </c>
      <c r="D99" s="40" t="s">
        <v>368</v>
      </c>
      <c r="E99" s="41" t="s">
        <v>1042</v>
      </c>
      <c r="F99" s="40" t="s">
        <v>1043</v>
      </c>
      <c r="G99" s="42">
        <v>2</v>
      </c>
      <c r="H99" s="39" t="s">
        <v>1148</v>
      </c>
    </row>
    <row r="100" spans="1:8" ht="49.95" customHeight="1" thickBot="1" x14ac:dyDescent="0.35">
      <c r="A100" s="38">
        <v>99</v>
      </c>
      <c r="B100" s="39" t="s">
        <v>289</v>
      </c>
      <c r="C100" s="40" t="s">
        <v>1149</v>
      </c>
      <c r="D100" s="40" t="s">
        <v>368</v>
      </c>
      <c r="E100" s="41" t="s">
        <v>1042</v>
      </c>
      <c r="F100" s="40" t="s">
        <v>1043</v>
      </c>
      <c r="G100" s="42">
        <v>3</v>
      </c>
      <c r="H100" s="39" t="s">
        <v>719</v>
      </c>
    </row>
    <row r="101" spans="1:8" ht="49.95" customHeight="1" thickBot="1" x14ac:dyDescent="0.35">
      <c r="A101" s="38">
        <v>100</v>
      </c>
      <c r="B101" s="39" t="s">
        <v>593</v>
      </c>
      <c r="C101" s="40" t="s">
        <v>1150</v>
      </c>
      <c r="D101" s="40" t="s">
        <v>368</v>
      </c>
      <c r="E101" s="41" t="s">
        <v>1042</v>
      </c>
      <c r="F101" s="40" t="s">
        <v>1043</v>
      </c>
      <c r="G101" s="42">
        <v>4</v>
      </c>
      <c r="H101" s="39" t="s">
        <v>926</v>
      </c>
    </row>
    <row r="102" spans="1:8" ht="49.95" customHeight="1" thickBot="1" x14ac:dyDescent="0.35">
      <c r="A102" s="38">
        <v>101</v>
      </c>
      <c r="B102" s="39" t="s">
        <v>288</v>
      </c>
      <c r="C102" s="40" t="s">
        <v>1151</v>
      </c>
      <c r="D102" s="40" t="s">
        <v>368</v>
      </c>
      <c r="E102" s="41" t="s">
        <v>1042</v>
      </c>
      <c r="F102" s="40" t="s">
        <v>1043</v>
      </c>
      <c r="G102" s="43">
        <v>4</v>
      </c>
      <c r="H102" s="40" t="s">
        <v>1152</v>
      </c>
    </row>
    <row r="103" spans="1:8" ht="49.95" customHeight="1" thickBot="1" x14ac:dyDescent="0.35">
      <c r="A103" s="38">
        <v>102</v>
      </c>
      <c r="B103" s="39" t="s">
        <v>1153</v>
      </c>
      <c r="C103" s="40" t="s">
        <v>1154</v>
      </c>
      <c r="D103" s="40" t="s">
        <v>367</v>
      </c>
      <c r="E103" s="41" t="s">
        <v>1042</v>
      </c>
      <c r="F103" s="40" t="s">
        <v>1043</v>
      </c>
      <c r="G103" s="42">
        <v>4</v>
      </c>
      <c r="H103" s="39" t="s">
        <v>1155</v>
      </c>
    </row>
    <row r="104" spans="1:8" ht="49.95" customHeight="1" thickBot="1" x14ac:dyDescent="0.35">
      <c r="A104" s="38">
        <v>103</v>
      </c>
      <c r="B104" s="39" t="s">
        <v>293</v>
      </c>
      <c r="C104" s="40" t="s">
        <v>94</v>
      </c>
      <c r="D104" s="40" t="s">
        <v>370</v>
      </c>
      <c r="E104" s="41" t="s">
        <v>1042</v>
      </c>
      <c r="F104" s="40" t="s">
        <v>1043</v>
      </c>
      <c r="G104" s="43">
        <v>2</v>
      </c>
      <c r="H104" s="40" t="s">
        <v>1156</v>
      </c>
    </row>
    <row r="105" spans="1:8" ht="49.95" customHeight="1" thickBot="1" x14ac:dyDescent="0.35">
      <c r="A105" s="38">
        <v>104</v>
      </c>
      <c r="B105" s="39" t="s">
        <v>291</v>
      </c>
      <c r="C105" s="40" t="s">
        <v>92</v>
      </c>
      <c r="D105" s="40" t="s">
        <v>370</v>
      </c>
      <c r="E105" s="41" t="s">
        <v>1051</v>
      </c>
      <c r="F105" s="40" t="s">
        <v>1043</v>
      </c>
      <c r="G105" s="42">
        <v>4</v>
      </c>
      <c r="H105" s="39" t="s">
        <v>733</v>
      </c>
    </row>
    <row r="106" spans="1:8" ht="49.95" customHeight="1" thickBot="1" x14ac:dyDescent="0.35">
      <c r="A106" s="38">
        <v>105</v>
      </c>
      <c r="B106" s="39" t="s">
        <v>1157</v>
      </c>
      <c r="C106" s="40" t="s">
        <v>1158</v>
      </c>
      <c r="D106" s="40" t="s">
        <v>368</v>
      </c>
      <c r="E106" s="41" t="s">
        <v>1042</v>
      </c>
      <c r="F106" s="40" t="s">
        <v>1043</v>
      </c>
      <c r="G106" s="42">
        <v>3</v>
      </c>
      <c r="H106" s="39" t="s">
        <v>1159</v>
      </c>
    </row>
    <row r="107" spans="1:8" ht="49.95" customHeight="1" thickBot="1" x14ac:dyDescent="0.35">
      <c r="A107" s="38">
        <v>106</v>
      </c>
      <c r="B107" s="39" t="s">
        <v>292</v>
      </c>
      <c r="C107" s="40" t="s">
        <v>1160</v>
      </c>
      <c r="D107" s="40" t="s">
        <v>370</v>
      </c>
      <c r="E107" s="41" t="s">
        <v>1042</v>
      </c>
      <c r="F107" s="40" t="s">
        <v>1043</v>
      </c>
      <c r="G107" s="43">
        <v>3</v>
      </c>
      <c r="H107" s="40" t="s">
        <v>1161</v>
      </c>
    </row>
    <row r="108" spans="1:8" ht="49.95" customHeight="1" thickBot="1" x14ac:dyDescent="0.35">
      <c r="A108" s="38">
        <v>107</v>
      </c>
      <c r="B108" s="39" t="s">
        <v>294</v>
      </c>
      <c r="C108" s="40" t="s">
        <v>1162</v>
      </c>
      <c r="D108" s="40" t="s">
        <v>368</v>
      </c>
      <c r="E108" s="41" t="s">
        <v>1042</v>
      </c>
      <c r="F108" s="40" t="s">
        <v>1048</v>
      </c>
      <c r="G108" s="45"/>
      <c r="H108" s="39" t="s">
        <v>1163</v>
      </c>
    </row>
    <row r="109" spans="1:8" ht="49.95" customHeight="1" thickBot="1" x14ac:dyDescent="0.35">
      <c r="A109" s="38">
        <v>108</v>
      </c>
      <c r="B109" s="39" t="s">
        <v>295</v>
      </c>
      <c r="C109" s="40" t="s">
        <v>1164</v>
      </c>
      <c r="D109" s="40" t="s">
        <v>367</v>
      </c>
      <c r="E109" s="41" t="s">
        <v>1042</v>
      </c>
      <c r="F109" s="40" t="s">
        <v>1043</v>
      </c>
      <c r="G109" s="42">
        <v>3</v>
      </c>
      <c r="H109" s="39" t="s">
        <v>1165</v>
      </c>
    </row>
    <row r="110" spans="1:8" ht="49.95" customHeight="1" thickBot="1" x14ac:dyDescent="0.35">
      <c r="A110" s="38">
        <v>109</v>
      </c>
      <c r="B110" s="39">
        <v>240908</v>
      </c>
      <c r="C110" s="40" t="s">
        <v>1166</v>
      </c>
      <c r="D110" s="40" t="s">
        <v>1167</v>
      </c>
      <c r="E110" s="41" t="s">
        <v>1042</v>
      </c>
      <c r="F110" s="40" t="s">
        <v>1043</v>
      </c>
      <c r="G110" s="42">
        <v>4</v>
      </c>
      <c r="H110" s="39" t="s">
        <v>1168</v>
      </c>
    </row>
    <row r="111" spans="1:8" ht="49.95" customHeight="1" thickBot="1" x14ac:dyDescent="0.35">
      <c r="A111" s="38">
        <v>110</v>
      </c>
      <c r="B111" s="39" t="s">
        <v>1157</v>
      </c>
      <c r="C111" s="40" t="s">
        <v>1169</v>
      </c>
      <c r="D111" s="40" t="s">
        <v>1170</v>
      </c>
      <c r="E111" s="41" t="s">
        <v>1042</v>
      </c>
      <c r="F111" s="40" t="s">
        <v>1043</v>
      </c>
      <c r="G111" s="42">
        <v>2</v>
      </c>
      <c r="H111" s="39" t="s">
        <v>1171</v>
      </c>
    </row>
    <row r="112" spans="1:8" ht="49.95" customHeight="1" thickBot="1" x14ac:dyDescent="0.35">
      <c r="A112" s="38">
        <v>111</v>
      </c>
      <c r="B112" s="39" t="s">
        <v>296</v>
      </c>
      <c r="C112" s="40" t="s">
        <v>96</v>
      </c>
      <c r="D112" s="40" t="s">
        <v>367</v>
      </c>
      <c r="E112" s="41" t="s">
        <v>1045</v>
      </c>
      <c r="F112" s="40" t="s">
        <v>1043</v>
      </c>
      <c r="G112" s="42">
        <v>3</v>
      </c>
      <c r="H112" s="39" t="s">
        <v>732</v>
      </c>
    </row>
    <row r="113" spans="1:8" ht="49.95" customHeight="1" thickBot="1" x14ac:dyDescent="0.35">
      <c r="A113" s="38">
        <v>112</v>
      </c>
      <c r="B113" s="39" t="s">
        <v>297</v>
      </c>
      <c r="C113" s="40" t="s">
        <v>97</v>
      </c>
      <c r="D113" s="40" t="s">
        <v>363</v>
      </c>
      <c r="E113" s="41" t="s">
        <v>1045</v>
      </c>
      <c r="F113" s="40" t="s">
        <v>1048</v>
      </c>
      <c r="G113" s="42">
        <v>2</v>
      </c>
      <c r="H113" s="39" t="s">
        <v>789</v>
      </c>
    </row>
    <row r="114" spans="1:8" ht="49.95" customHeight="1" thickBot="1" x14ac:dyDescent="0.35">
      <c r="A114" s="38">
        <v>113</v>
      </c>
      <c r="B114" s="39" t="s">
        <v>298</v>
      </c>
      <c r="C114" s="40" t="s">
        <v>1172</v>
      </c>
      <c r="D114" s="40" t="s">
        <v>372</v>
      </c>
      <c r="E114" s="41" t="s">
        <v>1042</v>
      </c>
      <c r="F114" s="40" t="s">
        <v>1043</v>
      </c>
      <c r="G114" s="45"/>
      <c r="H114" s="39" t="s">
        <v>739</v>
      </c>
    </row>
    <row r="115" spans="1:8" ht="49.95" customHeight="1" thickBot="1" x14ac:dyDescent="0.35">
      <c r="A115" s="38">
        <v>114</v>
      </c>
      <c r="B115" s="39" t="s">
        <v>1173</v>
      </c>
      <c r="C115" s="40" t="s">
        <v>1174</v>
      </c>
      <c r="D115" s="40" t="s">
        <v>365</v>
      </c>
      <c r="E115" s="41" t="s">
        <v>1042</v>
      </c>
      <c r="F115" s="40" t="s">
        <v>1043</v>
      </c>
      <c r="G115" s="42">
        <v>4</v>
      </c>
      <c r="H115" s="39" t="s">
        <v>1175</v>
      </c>
    </row>
    <row r="116" spans="1:8" ht="49.95" customHeight="1" thickBot="1" x14ac:dyDescent="0.35">
      <c r="A116" s="38">
        <v>115</v>
      </c>
      <c r="B116" s="39" t="s">
        <v>299</v>
      </c>
      <c r="C116" s="40" t="s">
        <v>1176</v>
      </c>
      <c r="D116" s="40" t="s">
        <v>364</v>
      </c>
      <c r="E116" s="41" t="s">
        <v>1042</v>
      </c>
      <c r="F116" s="40" t="s">
        <v>1043</v>
      </c>
      <c r="G116" s="42">
        <v>3</v>
      </c>
      <c r="H116" s="39" t="s">
        <v>731</v>
      </c>
    </row>
    <row r="117" spans="1:8" ht="49.95" customHeight="1" thickBot="1" x14ac:dyDescent="0.35">
      <c r="A117" s="38">
        <v>116</v>
      </c>
      <c r="B117" s="39">
        <v>230633</v>
      </c>
      <c r="C117" s="40" t="s">
        <v>1177</v>
      </c>
      <c r="D117" s="40" t="s">
        <v>533</v>
      </c>
      <c r="E117" s="41" t="s">
        <v>1042</v>
      </c>
      <c r="F117" s="40" t="s">
        <v>1043</v>
      </c>
      <c r="G117" s="42">
        <v>3</v>
      </c>
      <c r="H117" s="39" t="s">
        <v>914</v>
      </c>
    </row>
    <row r="118" spans="1:8" ht="49.95" customHeight="1" thickBot="1" x14ac:dyDescent="0.35">
      <c r="A118" s="38">
        <v>117</v>
      </c>
      <c r="B118" s="39" t="s">
        <v>300</v>
      </c>
      <c r="C118" s="40" t="s">
        <v>1178</v>
      </c>
      <c r="D118" s="40" t="s">
        <v>373</v>
      </c>
      <c r="E118" s="41" t="s">
        <v>1042</v>
      </c>
      <c r="F118" s="40" t="s">
        <v>1043</v>
      </c>
      <c r="G118" s="45"/>
      <c r="H118" s="39" t="s">
        <v>1179</v>
      </c>
    </row>
    <row r="119" spans="1:8" ht="49.95" customHeight="1" thickBot="1" x14ac:dyDescent="0.35">
      <c r="A119" s="38">
        <v>118</v>
      </c>
      <c r="B119" s="39" t="s">
        <v>303</v>
      </c>
      <c r="C119" s="40" t="s">
        <v>103</v>
      </c>
      <c r="D119" s="40" t="s">
        <v>373</v>
      </c>
      <c r="E119" s="41" t="s">
        <v>1042</v>
      </c>
      <c r="F119" s="40" t="s">
        <v>1043</v>
      </c>
      <c r="G119" s="42">
        <v>2</v>
      </c>
      <c r="H119" s="39" t="s">
        <v>1180</v>
      </c>
    </row>
    <row r="120" spans="1:8" ht="49.95" customHeight="1" thickBot="1" x14ac:dyDescent="0.35">
      <c r="A120" s="38">
        <v>119</v>
      </c>
      <c r="B120" s="39" t="s">
        <v>301</v>
      </c>
      <c r="C120" s="40" t="s">
        <v>101</v>
      </c>
      <c r="D120" s="40" t="s">
        <v>373</v>
      </c>
      <c r="E120" s="41" t="s">
        <v>1042</v>
      </c>
      <c r="F120" s="40" t="s">
        <v>1043</v>
      </c>
      <c r="G120" s="42">
        <v>4</v>
      </c>
      <c r="H120" s="39" t="s">
        <v>735</v>
      </c>
    </row>
    <row r="121" spans="1:8" ht="49.95" customHeight="1" thickBot="1" x14ac:dyDescent="0.35">
      <c r="A121" s="38">
        <v>120</v>
      </c>
      <c r="B121" s="39" t="s">
        <v>302</v>
      </c>
      <c r="C121" s="40" t="s">
        <v>102</v>
      </c>
      <c r="D121" s="40" t="s">
        <v>374</v>
      </c>
      <c r="E121" s="41" t="s">
        <v>1042</v>
      </c>
      <c r="F121" s="40" t="s">
        <v>1043</v>
      </c>
      <c r="G121" s="42">
        <v>4</v>
      </c>
      <c r="H121" s="39" t="s">
        <v>776</v>
      </c>
    </row>
    <row r="122" spans="1:8" ht="49.95" customHeight="1" thickBot="1" x14ac:dyDescent="0.35">
      <c r="A122" s="38">
        <v>121</v>
      </c>
      <c r="B122" s="39" t="s">
        <v>584</v>
      </c>
      <c r="C122" s="40" t="s">
        <v>517</v>
      </c>
      <c r="D122" s="40" t="s">
        <v>367</v>
      </c>
      <c r="E122" s="41" t="s">
        <v>1042</v>
      </c>
      <c r="F122" s="40" t="s">
        <v>1043</v>
      </c>
      <c r="G122" s="42">
        <v>3</v>
      </c>
      <c r="H122" s="39" t="s">
        <v>921</v>
      </c>
    </row>
    <row r="123" spans="1:8" ht="49.95" customHeight="1" thickBot="1" x14ac:dyDescent="0.35">
      <c r="A123" s="38">
        <v>122</v>
      </c>
      <c r="B123" s="39" t="s">
        <v>305</v>
      </c>
      <c r="C123" s="40" t="s">
        <v>1181</v>
      </c>
      <c r="D123" s="40" t="s">
        <v>1182</v>
      </c>
      <c r="E123" s="41" t="s">
        <v>1042</v>
      </c>
      <c r="F123" s="40" t="s">
        <v>1043</v>
      </c>
      <c r="G123" s="42">
        <v>3</v>
      </c>
      <c r="H123" s="39" t="s">
        <v>1183</v>
      </c>
    </row>
    <row r="124" spans="1:8" ht="49.95" customHeight="1" thickBot="1" x14ac:dyDescent="0.35">
      <c r="A124" s="38">
        <v>123</v>
      </c>
      <c r="B124" s="39" t="s">
        <v>307</v>
      </c>
      <c r="C124" s="40" t="s">
        <v>1184</v>
      </c>
      <c r="D124" s="40" t="s">
        <v>377</v>
      </c>
      <c r="E124" s="41" t="s">
        <v>1042</v>
      </c>
      <c r="F124" s="40" t="s">
        <v>1043</v>
      </c>
      <c r="G124" s="42">
        <v>2</v>
      </c>
      <c r="H124" s="39" t="s">
        <v>736</v>
      </c>
    </row>
    <row r="125" spans="1:8" ht="49.95" customHeight="1" thickBot="1" x14ac:dyDescent="0.35">
      <c r="A125" s="38">
        <v>124</v>
      </c>
      <c r="B125" s="39" t="s">
        <v>550</v>
      </c>
      <c r="C125" s="40" t="s">
        <v>1185</v>
      </c>
      <c r="D125" s="40" t="s">
        <v>376</v>
      </c>
      <c r="E125" s="41" t="s">
        <v>1042</v>
      </c>
      <c r="F125" s="40" t="s">
        <v>1043</v>
      </c>
      <c r="G125" s="42">
        <v>4</v>
      </c>
      <c r="H125" s="39" t="s">
        <v>884</v>
      </c>
    </row>
    <row r="126" spans="1:8" ht="49.95" customHeight="1" thickBot="1" x14ac:dyDescent="0.35">
      <c r="A126" s="38">
        <v>125</v>
      </c>
      <c r="B126" s="39" t="s">
        <v>304</v>
      </c>
      <c r="C126" s="40" t="s">
        <v>1186</v>
      </c>
      <c r="D126" s="40" t="s">
        <v>375</v>
      </c>
      <c r="E126" s="41" t="s">
        <v>1042</v>
      </c>
      <c r="F126" s="40" t="s">
        <v>1043</v>
      </c>
      <c r="G126" s="42">
        <v>3</v>
      </c>
      <c r="H126" s="39" t="s">
        <v>745</v>
      </c>
    </row>
    <row r="127" spans="1:8" ht="49.95" customHeight="1" thickBot="1" x14ac:dyDescent="0.35">
      <c r="A127" s="38">
        <v>126</v>
      </c>
      <c r="B127" s="39" t="s">
        <v>305</v>
      </c>
      <c r="C127" s="40" t="s">
        <v>105</v>
      </c>
      <c r="D127" s="40" t="s">
        <v>376</v>
      </c>
      <c r="E127" s="41" t="s">
        <v>1042</v>
      </c>
      <c r="F127" s="40" t="s">
        <v>1043</v>
      </c>
      <c r="G127" s="42">
        <v>2</v>
      </c>
      <c r="H127" s="39" t="s">
        <v>737</v>
      </c>
    </row>
    <row r="128" spans="1:8" ht="49.95" customHeight="1" thickBot="1" x14ac:dyDescent="0.35">
      <c r="A128" s="38">
        <v>127</v>
      </c>
      <c r="B128" s="39" t="s">
        <v>306</v>
      </c>
      <c r="C128" s="46" t="s">
        <v>106</v>
      </c>
      <c r="D128" s="40" t="s">
        <v>376</v>
      </c>
      <c r="E128" s="41" t="s">
        <v>1045</v>
      </c>
      <c r="F128" s="40" t="s">
        <v>1043</v>
      </c>
      <c r="G128" s="42">
        <v>3</v>
      </c>
      <c r="H128" s="39" t="s">
        <v>743</v>
      </c>
    </row>
    <row r="129" spans="1:8" ht="49.95" customHeight="1" thickBot="1" x14ac:dyDescent="0.35">
      <c r="A129" s="38">
        <v>128</v>
      </c>
      <c r="B129" s="39">
        <v>230133</v>
      </c>
      <c r="C129" s="40" t="s">
        <v>1034</v>
      </c>
      <c r="D129" s="40" t="s">
        <v>1187</v>
      </c>
      <c r="E129" s="41" t="s">
        <v>1042</v>
      </c>
      <c r="F129" s="40" t="s">
        <v>1048</v>
      </c>
      <c r="G129" s="42">
        <v>4</v>
      </c>
      <c r="H129" s="39" t="s">
        <v>1188</v>
      </c>
    </row>
    <row r="130" spans="1:8" ht="49.95" customHeight="1" thickBot="1" x14ac:dyDescent="0.35">
      <c r="A130" s="38">
        <v>129</v>
      </c>
      <c r="B130" s="39" t="s">
        <v>309</v>
      </c>
      <c r="C130" s="40" t="s">
        <v>109</v>
      </c>
      <c r="D130" s="40" t="s">
        <v>375</v>
      </c>
      <c r="E130" s="41" t="s">
        <v>1042</v>
      </c>
      <c r="F130" s="40" t="s">
        <v>1043</v>
      </c>
      <c r="G130" s="42">
        <v>4</v>
      </c>
      <c r="H130" s="39" t="s">
        <v>771</v>
      </c>
    </row>
    <row r="131" spans="1:8" ht="49.95" customHeight="1" thickBot="1" x14ac:dyDescent="0.35">
      <c r="A131" s="38">
        <v>130</v>
      </c>
      <c r="B131" s="39" t="s">
        <v>308</v>
      </c>
      <c r="C131" s="40" t="s">
        <v>108</v>
      </c>
      <c r="D131" s="40" t="s">
        <v>375</v>
      </c>
      <c r="E131" s="41" t="s">
        <v>1042</v>
      </c>
      <c r="F131" s="40" t="s">
        <v>1043</v>
      </c>
      <c r="G131" s="42">
        <v>3</v>
      </c>
      <c r="H131" s="39" t="s">
        <v>785</v>
      </c>
    </row>
    <row r="132" spans="1:8" ht="49.95" customHeight="1" thickBot="1" x14ac:dyDescent="0.35">
      <c r="A132" s="38">
        <v>131</v>
      </c>
      <c r="B132" s="39" t="s">
        <v>312</v>
      </c>
      <c r="C132" s="40" t="s">
        <v>112</v>
      </c>
      <c r="D132" s="40" t="s">
        <v>378</v>
      </c>
      <c r="E132" s="41" t="s">
        <v>1042</v>
      </c>
      <c r="F132" s="40" t="s">
        <v>1043</v>
      </c>
      <c r="G132" s="42">
        <v>3</v>
      </c>
      <c r="H132" s="39" t="s">
        <v>767</v>
      </c>
    </row>
    <row r="133" spans="1:8" ht="49.95" customHeight="1" thickBot="1" x14ac:dyDescent="0.35">
      <c r="A133" s="38">
        <v>132</v>
      </c>
      <c r="B133" s="39" t="s">
        <v>310</v>
      </c>
      <c r="C133" s="40" t="s">
        <v>1189</v>
      </c>
      <c r="D133" s="40" t="s">
        <v>367</v>
      </c>
      <c r="E133" s="41" t="s">
        <v>1045</v>
      </c>
      <c r="F133" s="40" t="s">
        <v>1043</v>
      </c>
      <c r="G133" s="42">
        <v>2</v>
      </c>
      <c r="H133" s="39" t="s">
        <v>738</v>
      </c>
    </row>
    <row r="134" spans="1:8" ht="49.95" customHeight="1" thickBot="1" x14ac:dyDescent="0.35">
      <c r="A134" s="38">
        <v>133</v>
      </c>
      <c r="B134" s="39" t="s">
        <v>311</v>
      </c>
      <c r="C134" s="40" t="s">
        <v>1190</v>
      </c>
      <c r="D134" s="40" t="s">
        <v>367</v>
      </c>
      <c r="E134" s="41" t="s">
        <v>1045</v>
      </c>
      <c r="F134" s="40" t="s">
        <v>1043</v>
      </c>
      <c r="G134" s="42">
        <v>2</v>
      </c>
      <c r="H134" s="39" t="s">
        <v>738</v>
      </c>
    </row>
    <row r="135" spans="1:8" ht="49.95" customHeight="1" thickBot="1" x14ac:dyDescent="0.35">
      <c r="A135" s="38">
        <v>134</v>
      </c>
      <c r="B135" s="39" t="s">
        <v>313</v>
      </c>
      <c r="C135" s="40" t="s">
        <v>113</v>
      </c>
      <c r="D135" s="40" t="s">
        <v>367</v>
      </c>
      <c r="E135" s="41" t="s">
        <v>1042</v>
      </c>
      <c r="F135" s="40" t="s">
        <v>1043</v>
      </c>
      <c r="G135" s="42">
        <v>3</v>
      </c>
      <c r="H135" s="39" t="s">
        <v>747</v>
      </c>
    </row>
    <row r="136" spans="1:8" ht="49.95" customHeight="1" thickBot="1" x14ac:dyDescent="0.35">
      <c r="A136" s="38">
        <v>135</v>
      </c>
      <c r="B136" s="39" t="s">
        <v>314</v>
      </c>
      <c r="C136" s="40" t="s">
        <v>114</v>
      </c>
      <c r="D136" s="40" t="s">
        <v>379</v>
      </c>
      <c r="E136" s="41" t="s">
        <v>1042</v>
      </c>
      <c r="F136" s="40" t="s">
        <v>1043</v>
      </c>
      <c r="G136" s="42">
        <v>2</v>
      </c>
      <c r="H136" s="39" t="s">
        <v>760</v>
      </c>
    </row>
    <row r="137" spans="1:8" ht="49.95" customHeight="1" thickBot="1" x14ac:dyDescent="0.35">
      <c r="A137" s="38">
        <v>136</v>
      </c>
      <c r="B137" s="39" t="s">
        <v>315</v>
      </c>
      <c r="C137" s="40" t="s">
        <v>115</v>
      </c>
      <c r="D137" s="40" t="s">
        <v>380</v>
      </c>
      <c r="E137" s="41" t="s">
        <v>1042</v>
      </c>
      <c r="F137" s="40" t="s">
        <v>1048</v>
      </c>
      <c r="G137" s="42">
        <v>2</v>
      </c>
      <c r="H137" s="39" t="s">
        <v>1191</v>
      </c>
    </row>
    <row r="138" spans="1:8" ht="49.95" customHeight="1" thickBot="1" x14ac:dyDescent="0.35">
      <c r="A138" s="38">
        <v>137</v>
      </c>
      <c r="B138" s="40" t="s">
        <v>1157</v>
      </c>
      <c r="C138" s="40" t="s">
        <v>1192</v>
      </c>
      <c r="D138" s="40" t="s">
        <v>365</v>
      </c>
      <c r="E138" s="41" t="s">
        <v>1042</v>
      </c>
      <c r="F138" s="40" t="s">
        <v>1043</v>
      </c>
      <c r="G138" s="43">
        <v>3</v>
      </c>
      <c r="H138" s="40" t="s">
        <v>1193</v>
      </c>
    </row>
    <row r="139" spans="1:8" ht="49.95" customHeight="1" thickBot="1" x14ac:dyDescent="0.35">
      <c r="A139" s="38">
        <v>138</v>
      </c>
      <c r="B139" s="39" t="s">
        <v>316</v>
      </c>
      <c r="C139" s="40" t="s">
        <v>116</v>
      </c>
      <c r="D139" s="40" t="s">
        <v>370</v>
      </c>
      <c r="E139" s="41" t="s">
        <v>1042</v>
      </c>
      <c r="F139" s="40" t="s">
        <v>1043</v>
      </c>
      <c r="G139" s="42">
        <v>2</v>
      </c>
      <c r="H139" s="39" t="s">
        <v>744</v>
      </c>
    </row>
    <row r="140" spans="1:8" ht="49.95" customHeight="1" thickBot="1" x14ac:dyDescent="0.35">
      <c r="A140" s="38">
        <v>139</v>
      </c>
      <c r="B140" s="39" t="s">
        <v>323</v>
      </c>
      <c r="C140" s="47" t="s">
        <v>1194</v>
      </c>
      <c r="D140" s="47" t="s">
        <v>383</v>
      </c>
      <c r="E140" s="48" t="s">
        <v>1045</v>
      </c>
      <c r="F140" s="47" t="s">
        <v>1043</v>
      </c>
      <c r="G140" s="49">
        <v>2</v>
      </c>
      <c r="H140" s="50"/>
    </row>
    <row r="141" spans="1:8" ht="49.95" customHeight="1" thickBot="1" x14ac:dyDescent="0.35">
      <c r="A141" s="38">
        <v>140</v>
      </c>
      <c r="B141" s="39" t="s">
        <v>317</v>
      </c>
      <c r="C141" s="40" t="s">
        <v>117</v>
      </c>
      <c r="D141" s="40" t="s">
        <v>370</v>
      </c>
      <c r="E141" s="41" t="s">
        <v>1042</v>
      </c>
      <c r="F141" s="40" t="s">
        <v>1043</v>
      </c>
      <c r="G141" s="42">
        <v>4</v>
      </c>
      <c r="H141" s="39" t="s">
        <v>763</v>
      </c>
    </row>
    <row r="142" spans="1:8" ht="49.95" customHeight="1" thickBot="1" x14ac:dyDescent="0.35">
      <c r="A142" s="38">
        <v>141</v>
      </c>
      <c r="B142" s="39" t="s">
        <v>319</v>
      </c>
      <c r="C142" s="40" t="s">
        <v>120</v>
      </c>
      <c r="D142" s="40" t="s">
        <v>371</v>
      </c>
      <c r="E142" s="41" t="s">
        <v>1042</v>
      </c>
      <c r="F142" s="40" t="s">
        <v>1043</v>
      </c>
      <c r="G142" s="42">
        <v>3</v>
      </c>
      <c r="H142" s="39" t="s">
        <v>777</v>
      </c>
    </row>
    <row r="143" spans="1:8" ht="49.95" customHeight="1" thickBot="1" x14ac:dyDescent="0.35">
      <c r="A143" s="38">
        <v>142</v>
      </c>
      <c r="B143" s="39" t="s">
        <v>320</v>
      </c>
      <c r="C143" s="40" t="s">
        <v>121</v>
      </c>
      <c r="D143" s="40" t="s">
        <v>382</v>
      </c>
      <c r="E143" s="41" t="s">
        <v>1042</v>
      </c>
      <c r="F143" s="40" t="s">
        <v>1043</v>
      </c>
      <c r="G143" s="42">
        <v>2</v>
      </c>
      <c r="H143" s="39" t="s">
        <v>1195</v>
      </c>
    </row>
    <row r="144" spans="1:8" ht="49.95" customHeight="1" thickBot="1" x14ac:dyDescent="0.35">
      <c r="A144" s="38">
        <v>143</v>
      </c>
      <c r="B144" s="39" t="s">
        <v>318</v>
      </c>
      <c r="C144" s="40" t="s">
        <v>119</v>
      </c>
      <c r="D144" s="40" t="s">
        <v>380</v>
      </c>
      <c r="E144" s="41" t="s">
        <v>1042</v>
      </c>
      <c r="F144" s="40" t="s">
        <v>1048</v>
      </c>
      <c r="G144" s="42">
        <v>2</v>
      </c>
      <c r="H144" s="39" t="s">
        <v>1196</v>
      </c>
    </row>
    <row r="145" spans="1:8" ht="49.95" customHeight="1" thickBot="1" x14ac:dyDescent="0.35">
      <c r="A145" s="38">
        <v>144</v>
      </c>
      <c r="B145" s="39" t="s">
        <v>207</v>
      </c>
      <c r="C145" s="40" t="s">
        <v>118</v>
      </c>
      <c r="D145" s="40" t="s">
        <v>381</v>
      </c>
      <c r="E145" s="41" t="s">
        <v>1042</v>
      </c>
      <c r="F145" s="40" t="s">
        <v>1043</v>
      </c>
      <c r="G145" s="43">
        <v>2</v>
      </c>
      <c r="H145" s="40" t="s">
        <v>820</v>
      </c>
    </row>
    <row r="146" spans="1:8" ht="49.95" customHeight="1" thickBot="1" x14ac:dyDescent="0.35">
      <c r="A146" s="38">
        <v>145</v>
      </c>
      <c r="B146" s="39" t="s">
        <v>559</v>
      </c>
      <c r="C146" s="40" t="s">
        <v>480</v>
      </c>
      <c r="D146" s="40" t="s">
        <v>532</v>
      </c>
      <c r="E146" s="41" t="s">
        <v>1042</v>
      </c>
      <c r="F146" s="40" t="s">
        <v>1043</v>
      </c>
      <c r="G146" s="42">
        <v>4</v>
      </c>
      <c r="H146" s="39" t="s">
        <v>896</v>
      </c>
    </row>
    <row r="147" spans="1:8" ht="49.95" customHeight="1" thickBot="1" x14ac:dyDescent="0.35">
      <c r="A147" s="38">
        <v>146</v>
      </c>
      <c r="B147" s="39" t="s">
        <v>321</v>
      </c>
      <c r="C147" s="40" t="s">
        <v>122</v>
      </c>
      <c r="D147" s="40" t="s">
        <v>371</v>
      </c>
      <c r="E147" s="41" t="s">
        <v>1042</v>
      </c>
      <c r="F147" s="40" t="s">
        <v>1043</v>
      </c>
      <c r="G147" s="42">
        <v>4</v>
      </c>
      <c r="H147" s="39" t="s">
        <v>783</v>
      </c>
    </row>
    <row r="148" spans="1:8" ht="49.95" customHeight="1" thickBot="1" x14ac:dyDescent="0.35">
      <c r="A148" s="38">
        <v>147</v>
      </c>
      <c r="B148" s="39" t="s">
        <v>324</v>
      </c>
      <c r="C148" s="40" t="s">
        <v>124</v>
      </c>
      <c r="D148" s="40" t="s">
        <v>383</v>
      </c>
      <c r="E148" s="41" t="s">
        <v>1042</v>
      </c>
      <c r="F148" s="40" t="s">
        <v>1043</v>
      </c>
      <c r="G148" s="42">
        <v>3</v>
      </c>
      <c r="H148" s="39" t="s">
        <v>769</v>
      </c>
    </row>
    <row r="149" spans="1:8" ht="49.95" customHeight="1" thickBot="1" x14ac:dyDescent="0.35">
      <c r="A149" s="38">
        <v>148</v>
      </c>
      <c r="B149" s="39" t="s">
        <v>327</v>
      </c>
      <c r="C149" s="40" t="s">
        <v>127</v>
      </c>
      <c r="D149" s="40" t="s">
        <v>364</v>
      </c>
      <c r="E149" s="41" t="s">
        <v>1042</v>
      </c>
      <c r="F149" s="40" t="s">
        <v>1043</v>
      </c>
      <c r="G149" s="42">
        <v>4</v>
      </c>
      <c r="H149" s="39" t="s">
        <v>766</v>
      </c>
    </row>
    <row r="150" spans="1:8" ht="49.95" customHeight="1" thickBot="1" x14ac:dyDescent="0.35">
      <c r="A150" s="38">
        <v>149</v>
      </c>
      <c r="B150" s="39" t="s">
        <v>326</v>
      </c>
      <c r="C150" s="40" t="s">
        <v>126</v>
      </c>
      <c r="D150" s="40" t="s">
        <v>368</v>
      </c>
      <c r="E150" s="41" t="s">
        <v>1042</v>
      </c>
      <c r="F150" s="40" t="s">
        <v>1048</v>
      </c>
      <c r="G150" s="42">
        <v>3</v>
      </c>
      <c r="H150" s="39" t="s">
        <v>802</v>
      </c>
    </row>
    <row r="151" spans="1:8" ht="49.95" customHeight="1" thickBot="1" x14ac:dyDescent="0.35">
      <c r="A151" s="38">
        <v>150</v>
      </c>
      <c r="B151" s="39" t="s">
        <v>325</v>
      </c>
      <c r="C151" s="40" t="s">
        <v>125</v>
      </c>
      <c r="D151" s="40" t="s">
        <v>386</v>
      </c>
      <c r="E151" s="41" t="s">
        <v>1042</v>
      </c>
      <c r="F151" s="40" t="s">
        <v>1048</v>
      </c>
      <c r="G151" s="42">
        <v>3</v>
      </c>
      <c r="H151" s="39" t="s">
        <v>761</v>
      </c>
    </row>
    <row r="152" spans="1:8" ht="49.95" customHeight="1" thickBot="1" x14ac:dyDescent="0.35">
      <c r="A152" s="38">
        <v>151</v>
      </c>
      <c r="B152" s="39" t="s">
        <v>328</v>
      </c>
      <c r="C152" s="40" t="s">
        <v>128</v>
      </c>
      <c r="D152" s="40" t="s">
        <v>386</v>
      </c>
      <c r="E152" s="41" t="s">
        <v>1042</v>
      </c>
      <c r="F152" s="40" t="s">
        <v>1043</v>
      </c>
      <c r="G152" s="42">
        <v>2</v>
      </c>
      <c r="H152" s="39" t="s">
        <v>762</v>
      </c>
    </row>
    <row r="153" spans="1:8" ht="49.95" customHeight="1" thickBot="1" x14ac:dyDescent="0.35">
      <c r="A153" s="38">
        <v>152</v>
      </c>
      <c r="B153" s="39" t="s">
        <v>207</v>
      </c>
      <c r="C153" s="40" t="s">
        <v>1197</v>
      </c>
      <c r="D153" s="40" t="s">
        <v>207</v>
      </c>
      <c r="E153" s="41" t="s">
        <v>1042</v>
      </c>
      <c r="F153" s="40" t="s">
        <v>1043</v>
      </c>
      <c r="G153" s="42">
        <v>2</v>
      </c>
      <c r="H153" s="39" t="s">
        <v>754</v>
      </c>
    </row>
    <row r="154" spans="1:8" ht="49.95" customHeight="1" thickBot="1" x14ac:dyDescent="0.35">
      <c r="A154" s="38">
        <v>153</v>
      </c>
      <c r="B154" s="39" t="s">
        <v>329</v>
      </c>
      <c r="C154" s="40" t="s">
        <v>129</v>
      </c>
      <c r="D154" s="40" t="s">
        <v>364</v>
      </c>
      <c r="E154" s="41" t="s">
        <v>1045</v>
      </c>
      <c r="F154" s="40" t="s">
        <v>1043</v>
      </c>
      <c r="G154" s="42">
        <v>3</v>
      </c>
      <c r="H154" s="39" t="s">
        <v>780</v>
      </c>
    </row>
    <row r="155" spans="1:8" ht="49.95" customHeight="1" thickBot="1" x14ac:dyDescent="0.35">
      <c r="A155" s="38">
        <v>154</v>
      </c>
      <c r="B155" s="39" t="s">
        <v>335</v>
      </c>
      <c r="C155" s="40" t="s">
        <v>138</v>
      </c>
      <c r="D155" s="40" t="s">
        <v>372</v>
      </c>
      <c r="E155" s="41" t="s">
        <v>1051</v>
      </c>
      <c r="F155" s="40" t="s">
        <v>1043</v>
      </c>
      <c r="G155" s="42">
        <v>3</v>
      </c>
      <c r="H155" s="39" t="s">
        <v>730</v>
      </c>
    </row>
    <row r="156" spans="1:8" ht="49.95" customHeight="1" thickBot="1" x14ac:dyDescent="0.35">
      <c r="A156" s="38">
        <v>155</v>
      </c>
      <c r="B156" s="39" t="s">
        <v>334</v>
      </c>
      <c r="C156" s="40" t="s">
        <v>137</v>
      </c>
      <c r="D156" s="40" t="s">
        <v>364</v>
      </c>
      <c r="E156" s="41" t="s">
        <v>1042</v>
      </c>
      <c r="F156" s="40" t="s">
        <v>1043</v>
      </c>
      <c r="G156" s="42">
        <v>3</v>
      </c>
      <c r="H156" s="39" t="s">
        <v>755</v>
      </c>
    </row>
    <row r="157" spans="1:8" ht="49.95" customHeight="1" thickBot="1" x14ac:dyDescent="0.35">
      <c r="A157" s="38">
        <v>156</v>
      </c>
      <c r="B157" s="39">
        <v>230594</v>
      </c>
      <c r="C157" s="40" t="s">
        <v>450</v>
      </c>
      <c r="D157" s="40" t="s">
        <v>531</v>
      </c>
      <c r="E157" s="41" t="s">
        <v>1042</v>
      </c>
      <c r="F157" s="40" t="s">
        <v>1043</v>
      </c>
      <c r="G157" s="42">
        <v>3</v>
      </c>
      <c r="H157" s="39" t="s">
        <v>871</v>
      </c>
    </row>
    <row r="158" spans="1:8" ht="49.95" customHeight="1" thickBot="1" x14ac:dyDescent="0.35">
      <c r="A158" s="38">
        <v>157</v>
      </c>
      <c r="B158" s="39" t="s">
        <v>319</v>
      </c>
      <c r="C158" s="40" t="s">
        <v>135</v>
      </c>
      <c r="D158" s="40" t="s">
        <v>364</v>
      </c>
      <c r="E158" s="41" t="s">
        <v>1042</v>
      </c>
      <c r="F158" s="40" t="s">
        <v>1043</v>
      </c>
      <c r="G158" s="42">
        <v>3</v>
      </c>
      <c r="H158" s="39" t="s">
        <v>757</v>
      </c>
    </row>
    <row r="159" spans="1:8" ht="49.95" customHeight="1" thickBot="1" x14ac:dyDescent="0.35">
      <c r="A159" s="38">
        <v>158</v>
      </c>
      <c r="B159" s="39" t="s">
        <v>336</v>
      </c>
      <c r="C159" s="40" t="s">
        <v>139</v>
      </c>
      <c r="D159" s="40" t="s">
        <v>386</v>
      </c>
      <c r="E159" s="41" t="s">
        <v>1042</v>
      </c>
      <c r="F159" s="40" t="s">
        <v>1043</v>
      </c>
      <c r="G159" s="42">
        <v>3</v>
      </c>
      <c r="H159" s="39" t="s">
        <v>756</v>
      </c>
    </row>
    <row r="160" spans="1:8" ht="49.95" customHeight="1" thickBot="1" x14ac:dyDescent="0.35">
      <c r="A160" s="38">
        <v>159</v>
      </c>
      <c r="B160" s="39" t="s">
        <v>330</v>
      </c>
      <c r="C160" s="40" t="s">
        <v>131</v>
      </c>
      <c r="D160" s="40" t="s">
        <v>364</v>
      </c>
      <c r="E160" s="41" t="s">
        <v>1042</v>
      </c>
      <c r="F160" s="40" t="s">
        <v>1043</v>
      </c>
      <c r="G160" s="42">
        <v>3</v>
      </c>
      <c r="H160" s="39" t="s">
        <v>787</v>
      </c>
    </row>
    <row r="161" spans="1:8" ht="49.95" customHeight="1" thickBot="1" x14ac:dyDescent="0.35">
      <c r="A161" s="38">
        <v>160</v>
      </c>
      <c r="B161" s="39" t="s">
        <v>331</v>
      </c>
      <c r="C161" s="41" t="s">
        <v>1198</v>
      </c>
      <c r="D161" s="40" t="s">
        <v>364</v>
      </c>
      <c r="E161" s="41" t="s">
        <v>1045</v>
      </c>
      <c r="F161" s="40" t="s">
        <v>1043</v>
      </c>
      <c r="G161" s="42">
        <v>3</v>
      </c>
      <c r="H161" s="39" t="s">
        <v>825</v>
      </c>
    </row>
    <row r="162" spans="1:8" ht="49.95" customHeight="1" thickBot="1" x14ac:dyDescent="0.35">
      <c r="A162" s="38">
        <v>161</v>
      </c>
      <c r="B162" s="39" t="s">
        <v>1157</v>
      </c>
      <c r="C162" s="40" t="s">
        <v>1199</v>
      </c>
      <c r="D162" s="40" t="s">
        <v>364</v>
      </c>
      <c r="E162" s="41" t="s">
        <v>1042</v>
      </c>
      <c r="F162" s="40" t="s">
        <v>1043</v>
      </c>
      <c r="G162" s="42">
        <v>3</v>
      </c>
      <c r="H162" s="39" t="s">
        <v>1200</v>
      </c>
    </row>
    <row r="163" spans="1:8" ht="49.95" customHeight="1" thickBot="1" x14ac:dyDescent="0.35">
      <c r="A163" s="38">
        <v>162</v>
      </c>
      <c r="B163" s="39">
        <v>230787</v>
      </c>
      <c r="C163" s="40" t="s">
        <v>1201</v>
      </c>
      <c r="D163" s="40" t="s">
        <v>364</v>
      </c>
      <c r="E163" s="41" t="s">
        <v>1045</v>
      </c>
      <c r="F163" s="40" t="s">
        <v>1043</v>
      </c>
      <c r="G163" s="42">
        <v>4</v>
      </c>
      <c r="H163" s="39" t="s">
        <v>1202</v>
      </c>
    </row>
    <row r="164" spans="1:8" ht="49.95" customHeight="1" thickBot="1" x14ac:dyDescent="0.35">
      <c r="A164" s="38">
        <v>163</v>
      </c>
      <c r="B164" s="39" t="s">
        <v>332</v>
      </c>
      <c r="C164" s="40" t="s">
        <v>134</v>
      </c>
      <c r="D164" s="40" t="s">
        <v>386</v>
      </c>
      <c r="E164" s="41" t="s">
        <v>1042</v>
      </c>
      <c r="F164" s="40" t="s">
        <v>1043</v>
      </c>
      <c r="G164" s="42">
        <v>2</v>
      </c>
      <c r="H164" s="39" t="s">
        <v>764</v>
      </c>
    </row>
    <row r="165" spans="1:8" ht="49.95" customHeight="1" thickBot="1" x14ac:dyDescent="0.35">
      <c r="A165" s="38">
        <v>164</v>
      </c>
      <c r="B165" s="39" t="s">
        <v>333</v>
      </c>
      <c r="C165" s="40" t="s">
        <v>136</v>
      </c>
      <c r="D165" s="40" t="s">
        <v>365</v>
      </c>
      <c r="E165" s="41" t="s">
        <v>1042</v>
      </c>
      <c r="F165" s="40" t="s">
        <v>1043</v>
      </c>
      <c r="G165" s="42">
        <v>3</v>
      </c>
      <c r="H165" s="39" t="s">
        <v>1203</v>
      </c>
    </row>
    <row r="166" spans="1:8" ht="49.95" customHeight="1" thickBot="1" x14ac:dyDescent="0.35">
      <c r="A166" s="38">
        <v>165</v>
      </c>
      <c r="B166" s="39" t="s">
        <v>339</v>
      </c>
      <c r="C166" s="40" t="s">
        <v>142</v>
      </c>
      <c r="D166" s="40" t="s">
        <v>364</v>
      </c>
      <c r="E166" s="41" t="s">
        <v>1045</v>
      </c>
      <c r="F166" s="40" t="s">
        <v>1043</v>
      </c>
      <c r="G166" s="42">
        <v>3</v>
      </c>
      <c r="H166" s="39" t="s">
        <v>774</v>
      </c>
    </row>
    <row r="167" spans="1:8" ht="49.95" customHeight="1" thickBot="1" x14ac:dyDescent="0.35">
      <c r="A167" s="38">
        <v>166</v>
      </c>
      <c r="B167" s="39" t="s">
        <v>337</v>
      </c>
      <c r="C167" s="40" t="s">
        <v>1204</v>
      </c>
      <c r="D167" s="40" t="s">
        <v>386</v>
      </c>
      <c r="E167" s="41" t="s">
        <v>1042</v>
      </c>
      <c r="F167" s="40" t="s">
        <v>1043</v>
      </c>
      <c r="G167" s="42">
        <v>3</v>
      </c>
      <c r="H167" s="39" t="s">
        <v>1205</v>
      </c>
    </row>
    <row r="168" spans="1:8" ht="49.95" customHeight="1" thickBot="1" x14ac:dyDescent="0.35">
      <c r="A168" s="38">
        <v>167</v>
      </c>
      <c r="B168" s="39" t="s">
        <v>338</v>
      </c>
      <c r="C168" s="40" t="s">
        <v>141</v>
      </c>
      <c r="D168" s="40" t="s">
        <v>386</v>
      </c>
      <c r="E168" s="41" t="s">
        <v>1042</v>
      </c>
      <c r="F168" s="40" t="s">
        <v>1043</v>
      </c>
      <c r="G168" s="42">
        <v>3</v>
      </c>
      <c r="H168" s="39" t="s">
        <v>772</v>
      </c>
    </row>
    <row r="169" spans="1:8" ht="49.95" customHeight="1" thickBot="1" x14ac:dyDescent="0.35">
      <c r="A169" s="38">
        <v>168</v>
      </c>
      <c r="B169" s="39">
        <v>230125</v>
      </c>
      <c r="C169" s="40" t="s">
        <v>143</v>
      </c>
      <c r="D169" s="40" t="s">
        <v>368</v>
      </c>
      <c r="E169" s="41" t="s">
        <v>1042</v>
      </c>
      <c r="F169" s="40" t="s">
        <v>1043</v>
      </c>
      <c r="G169" s="42">
        <v>2</v>
      </c>
      <c r="H169" s="39" t="s">
        <v>788</v>
      </c>
    </row>
    <row r="170" spans="1:8" ht="49.95" customHeight="1" thickBot="1" x14ac:dyDescent="0.35">
      <c r="A170" s="38">
        <v>169</v>
      </c>
      <c r="B170" s="39" t="s">
        <v>1157</v>
      </c>
      <c r="C170" s="40" t="s">
        <v>1206</v>
      </c>
      <c r="D170" s="40" t="s">
        <v>364</v>
      </c>
      <c r="E170" s="41" t="s">
        <v>1042</v>
      </c>
      <c r="F170" s="40" t="s">
        <v>1043</v>
      </c>
      <c r="G170" s="42">
        <v>4</v>
      </c>
      <c r="H170" s="39" t="s">
        <v>1207</v>
      </c>
    </row>
    <row r="171" spans="1:8" ht="49.95" customHeight="1" thickBot="1" x14ac:dyDescent="0.35">
      <c r="A171" s="38">
        <v>170</v>
      </c>
      <c r="B171" s="39">
        <v>250193</v>
      </c>
      <c r="C171" s="40" t="s">
        <v>1208</v>
      </c>
      <c r="D171" s="40" t="s">
        <v>368</v>
      </c>
      <c r="E171" s="41" t="s">
        <v>1042</v>
      </c>
      <c r="F171" s="40" t="s">
        <v>1043</v>
      </c>
      <c r="G171" s="42">
        <v>3</v>
      </c>
      <c r="H171" s="39" t="s">
        <v>1209</v>
      </c>
    </row>
    <row r="172" spans="1:8" ht="49.95" customHeight="1" thickBot="1" x14ac:dyDescent="0.35">
      <c r="A172" s="38">
        <v>171</v>
      </c>
      <c r="B172" s="39">
        <v>230164</v>
      </c>
      <c r="C172" s="40" t="s">
        <v>144</v>
      </c>
      <c r="D172" s="40" t="s">
        <v>364</v>
      </c>
      <c r="E172" s="41" t="s">
        <v>1042</v>
      </c>
      <c r="F172" s="40" t="s">
        <v>1043</v>
      </c>
      <c r="G172" s="42">
        <v>3</v>
      </c>
      <c r="H172" s="39" t="s">
        <v>819</v>
      </c>
    </row>
    <row r="173" spans="1:8" ht="49.95" customHeight="1" thickBot="1" x14ac:dyDescent="0.35">
      <c r="A173" s="38">
        <v>172</v>
      </c>
      <c r="B173" s="39" t="s">
        <v>340</v>
      </c>
      <c r="C173" s="40" t="s">
        <v>145</v>
      </c>
      <c r="D173" s="40" t="s">
        <v>368</v>
      </c>
      <c r="E173" s="41" t="s">
        <v>1042</v>
      </c>
      <c r="F173" s="40" t="s">
        <v>1043</v>
      </c>
      <c r="G173" s="42">
        <v>3</v>
      </c>
      <c r="H173" s="39" t="s">
        <v>773</v>
      </c>
    </row>
    <row r="174" spans="1:8" ht="49.95" customHeight="1" thickBot="1" x14ac:dyDescent="0.35">
      <c r="A174" s="38">
        <v>173</v>
      </c>
      <c r="B174" s="39" t="s">
        <v>341</v>
      </c>
      <c r="C174" s="40" t="s">
        <v>146</v>
      </c>
      <c r="D174" s="40" t="s">
        <v>341</v>
      </c>
      <c r="E174" s="41" t="s">
        <v>1042</v>
      </c>
      <c r="F174" s="40" t="s">
        <v>1043</v>
      </c>
      <c r="G174" s="42">
        <v>2</v>
      </c>
      <c r="H174" s="39" t="s">
        <v>742</v>
      </c>
    </row>
    <row r="175" spans="1:8" ht="49.95" customHeight="1" thickBot="1" x14ac:dyDescent="0.35">
      <c r="A175" s="38">
        <v>174</v>
      </c>
      <c r="B175" s="39">
        <v>230559</v>
      </c>
      <c r="C175" s="40" t="s">
        <v>1210</v>
      </c>
      <c r="D175" s="40" t="s">
        <v>363</v>
      </c>
      <c r="E175" s="41" t="s">
        <v>1042</v>
      </c>
      <c r="F175" s="40" t="s">
        <v>1043</v>
      </c>
      <c r="G175" s="42">
        <v>2</v>
      </c>
      <c r="H175" s="39" t="s">
        <v>815</v>
      </c>
    </row>
    <row r="176" spans="1:8" ht="49.95" customHeight="1" thickBot="1" x14ac:dyDescent="0.35">
      <c r="A176" s="38">
        <v>175</v>
      </c>
      <c r="B176" s="39">
        <v>230100</v>
      </c>
      <c r="C176" s="40" t="s">
        <v>1211</v>
      </c>
      <c r="D176" s="40" t="s">
        <v>364</v>
      </c>
      <c r="E176" s="41" t="s">
        <v>1045</v>
      </c>
      <c r="F176" s="40" t="s">
        <v>1043</v>
      </c>
      <c r="G176" s="42">
        <v>5</v>
      </c>
      <c r="H176" s="39" t="s">
        <v>770</v>
      </c>
    </row>
    <row r="177" spans="1:8" ht="49.95" customHeight="1" thickBot="1" x14ac:dyDescent="0.35">
      <c r="A177" s="38">
        <v>176</v>
      </c>
      <c r="B177" s="39">
        <v>230409</v>
      </c>
      <c r="C177" s="40" t="s">
        <v>1212</v>
      </c>
      <c r="D177" s="40" t="s">
        <v>368</v>
      </c>
      <c r="E177" s="41" t="s">
        <v>1042</v>
      </c>
      <c r="F177" s="40" t="s">
        <v>1043</v>
      </c>
      <c r="G177" s="42">
        <v>2</v>
      </c>
      <c r="H177" s="39" t="s">
        <v>796</v>
      </c>
    </row>
    <row r="178" spans="1:8" ht="49.95" customHeight="1" thickBot="1" x14ac:dyDescent="0.35">
      <c r="A178" s="38">
        <v>177</v>
      </c>
      <c r="B178" s="39">
        <v>230613</v>
      </c>
      <c r="C178" s="41" t="s">
        <v>448</v>
      </c>
      <c r="D178" s="40" t="s">
        <v>367</v>
      </c>
      <c r="E178" s="41" t="s">
        <v>1042</v>
      </c>
      <c r="F178" s="40" t="s">
        <v>1043</v>
      </c>
      <c r="G178" s="42">
        <v>2</v>
      </c>
      <c r="H178" s="39" t="s">
        <v>869</v>
      </c>
    </row>
    <row r="179" spans="1:8" ht="49.95" customHeight="1" thickBot="1" x14ac:dyDescent="0.35">
      <c r="A179" s="38">
        <v>178</v>
      </c>
      <c r="B179" s="39">
        <v>230210</v>
      </c>
      <c r="C179" s="40" t="s">
        <v>149</v>
      </c>
      <c r="D179" s="40" t="s">
        <v>363</v>
      </c>
      <c r="E179" s="41" t="s">
        <v>1042</v>
      </c>
      <c r="F179" s="40" t="s">
        <v>1048</v>
      </c>
      <c r="G179" s="42">
        <v>2</v>
      </c>
      <c r="H179" s="39" t="s">
        <v>821</v>
      </c>
    </row>
    <row r="180" spans="1:8" ht="49.95" customHeight="1" thickBot="1" x14ac:dyDescent="0.35">
      <c r="A180" s="38">
        <v>179</v>
      </c>
      <c r="B180" s="39">
        <v>230303</v>
      </c>
      <c r="C180" s="40" t="s">
        <v>151</v>
      </c>
      <c r="D180" s="40" t="s">
        <v>368</v>
      </c>
      <c r="E180" s="41" t="s">
        <v>1042</v>
      </c>
      <c r="F180" s="40" t="s">
        <v>1043</v>
      </c>
      <c r="G180" s="42">
        <v>2</v>
      </c>
      <c r="H180" s="39" t="s">
        <v>798</v>
      </c>
    </row>
    <row r="181" spans="1:8" ht="49.95" customHeight="1" thickBot="1" x14ac:dyDescent="0.35">
      <c r="A181" s="38">
        <v>180</v>
      </c>
      <c r="B181" s="39" t="s">
        <v>207</v>
      </c>
      <c r="C181" s="40" t="s">
        <v>152</v>
      </c>
      <c r="D181" s="40" t="s">
        <v>361</v>
      </c>
      <c r="E181" s="41" t="s">
        <v>1042</v>
      </c>
      <c r="F181" s="40" t="s">
        <v>1043</v>
      </c>
      <c r="G181" s="42">
        <v>2</v>
      </c>
      <c r="H181" s="39" t="s">
        <v>758</v>
      </c>
    </row>
    <row r="182" spans="1:8" ht="49.95" customHeight="1" thickBot="1" x14ac:dyDescent="0.35">
      <c r="A182" s="38">
        <v>181</v>
      </c>
      <c r="B182" s="39" t="s">
        <v>207</v>
      </c>
      <c r="C182" s="40" t="s">
        <v>1213</v>
      </c>
      <c r="D182" s="40" t="s">
        <v>361</v>
      </c>
      <c r="E182" s="41" t="s">
        <v>1051</v>
      </c>
      <c r="F182" s="40" t="s">
        <v>1043</v>
      </c>
      <c r="G182" s="42">
        <v>2</v>
      </c>
      <c r="H182" s="39" t="s">
        <v>759</v>
      </c>
    </row>
    <row r="183" spans="1:8" ht="49.95" customHeight="1" thickBot="1" x14ac:dyDescent="0.35">
      <c r="A183" s="38">
        <v>182</v>
      </c>
      <c r="B183" s="39">
        <v>230304</v>
      </c>
      <c r="C183" s="40" t="s">
        <v>431</v>
      </c>
      <c r="D183" s="40" t="s">
        <v>368</v>
      </c>
      <c r="E183" s="41" t="s">
        <v>1042</v>
      </c>
      <c r="F183" s="40" t="s">
        <v>1043</v>
      </c>
      <c r="G183" s="42">
        <v>3</v>
      </c>
      <c r="H183" s="39" t="s">
        <v>853</v>
      </c>
    </row>
    <row r="184" spans="1:8" ht="49.95" customHeight="1" thickBot="1" x14ac:dyDescent="0.35">
      <c r="A184" s="38">
        <v>183</v>
      </c>
      <c r="B184" s="39" t="s">
        <v>355</v>
      </c>
      <c r="C184" s="40" t="s">
        <v>193</v>
      </c>
      <c r="D184" s="40" t="s">
        <v>364</v>
      </c>
      <c r="E184" s="41" t="s">
        <v>1042</v>
      </c>
      <c r="F184" s="40" t="s">
        <v>1043</v>
      </c>
      <c r="G184" s="42">
        <v>3</v>
      </c>
      <c r="H184" s="39" t="s">
        <v>849</v>
      </c>
    </row>
    <row r="185" spans="1:8" ht="49.95" customHeight="1" thickBot="1" x14ac:dyDescent="0.35">
      <c r="A185" s="38">
        <v>184</v>
      </c>
      <c r="B185" s="39" t="s">
        <v>342</v>
      </c>
      <c r="C185" s="40" t="s">
        <v>1214</v>
      </c>
      <c r="D185" s="40" t="s">
        <v>368</v>
      </c>
      <c r="E185" s="41" t="s">
        <v>1042</v>
      </c>
      <c r="F185" s="40" t="s">
        <v>1043</v>
      </c>
      <c r="G185" s="42">
        <v>2</v>
      </c>
      <c r="H185" s="39" t="s">
        <v>786</v>
      </c>
    </row>
    <row r="186" spans="1:8" ht="49.95" customHeight="1" thickBot="1" x14ac:dyDescent="0.35">
      <c r="A186" s="38">
        <v>185</v>
      </c>
      <c r="B186" s="39">
        <v>230611</v>
      </c>
      <c r="C186" s="40" t="s">
        <v>158</v>
      </c>
      <c r="D186" s="40" t="s">
        <v>368</v>
      </c>
      <c r="E186" s="41" t="s">
        <v>1042</v>
      </c>
      <c r="F186" s="40" t="s">
        <v>1043</v>
      </c>
      <c r="G186" s="42">
        <v>2</v>
      </c>
      <c r="H186" s="39" t="s">
        <v>816</v>
      </c>
    </row>
    <row r="187" spans="1:8" ht="49.95" customHeight="1" thickBot="1" x14ac:dyDescent="0.35">
      <c r="A187" s="38">
        <v>186</v>
      </c>
      <c r="B187" s="39">
        <v>230342</v>
      </c>
      <c r="C187" s="40" t="s">
        <v>155</v>
      </c>
      <c r="D187" s="40" t="s">
        <v>368</v>
      </c>
      <c r="E187" s="41" t="s">
        <v>1042</v>
      </c>
      <c r="F187" s="40" t="s">
        <v>1048</v>
      </c>
      <c r="G187" s="42">
        <v>2</v>
      </c>
      <c r="H187" s="39" t="s">
        <v>799</v>
      </c>
    </row>
    <row r="188" spans="1:8" ht="49.95" customHeight="1" thickBot="1" x14ac:dyDescent="0.35">
      <c r="A188" s="38">
        <v>187</v>
      </c>
      <c r="B188" s="39">
        <v>230340</v>
      </c>
      <c r="C188" s="40" t="s">
        <v>156</v>
      </c>
      <c r="D188" s="40" t="s">
        <v>368</v>
      </c>
      <c r="E188" s="41" t="s">
        <v>1042</v>
      </c>
      <c r="F188" s="40" t="s">
        <v>1043</v>
      </c>
      <c r="G188" s="42">
        <v>2</v>
      </c>
      <c r="H188" s="39" t="s">
        <v>804</v>
      </c>
    </row>
    <row r="189" spans="1:8" ht="49.95" customHeight="1" thickBot="1" x14ac:dyDescent="0.35">
      <c r="A189" s="38">
        <v>188</v>
      </c>
      <c r="B189" s="39">
        <v>230339</v>
      </c>
      <c r="C189" s="40" t="s">
        <v>157</v>
      </c>
      <c r="D189" s="40" t="s">
        <v>368</v>
      </c>
      <c r="E189" s="41" t="s">
        <v>1042</v>
      </c>
      <c r="F189" s="40" t="s">
        <v>1043</v>
      </c>
      <c r="G189" s="42">
        <v>2</v>
      </c>
      <c r="H189" s="39" t="s">
        <v>804</v>
      </c>
    </row>
    <row r="190" spans="1:8" ht="49.95" customHeight="1" thickBot="1" x14ac:dyDescent="0.35">
      <c r="A190" s="38">
        <v>189</v>
      </c>
      <c r="B190" s="39" t="s">
        <v>985</v>
      </c>
      <c r="C190" s="40" t="s">
        <v>1215</v>
      </c>
      <c r="D190" s="40" t="s">
        <v>389</v>
      </c>
      <c r="E190" s="41" t="s">
        <v>1042</v>
      </c>
      <c r="F190" s="40" t="s">
        <v>1043</v>
      </c>
      <c r="G190" s="42">
        <v>3</v>
      </c>
      <c r="H190" s="39" t="s">
        <v>1216</v>
      </c>
    </row>
    <row r="191" spans="1:8" ht="49.95" customHeight="1" thickBot="1" x14ac:dyDescent="0.35">
      <c r="A191" s="38">
        <v>190</v>
      </c>
      <c r="B191" s="39">
        <v>230704</v>
      </c>
      <c r="C191" s="41" t="s">
        <v>174</v>
      </c>
      <c r="D191" s="40" t="s">
        <v>364</v>
      </c>
      <c r="E191" s="41" t="s">
        <v>1042</v>
      </c>
      <c r="F191" s="40" t="s">
        <v>1043</v>
      </c>
      <c r="G191" s="42">
        <v>2</v>
      </c>
      <c r="H191" s="39" t="s">
        <v>830</v>
      </c>
    </row>
    <row r="192" spans="1:8" ht="49.95" customHeight="1" thickBot="1" x14ac:dyDescent="0.35">
      <c r="A192" s="38">
        <v>191</v>
      </c>
      <c r="B192" s="39" t="s">
        <v>343</v>
      </c>
      <c r="C192" s="40" t="s">
        <v>160</v>
      </c>
      <c r="D192" s="40" t="s">
        <v>368</v>
      </c>
      <c r="E192" s="41" t="s">
        <v>1042</v>
      </c>
      <c r="F192" s="40" t="s">
        <v>1043</v>
      </c>
      <c r="G192" s="42">
        <v>4</v>
      </c>
      <c r="H192" s="39" t="s">
        <v>793</v>
      </c>
    </row>
    <row r="193" spans="1:8" ht="49.95" customHeight="1" thickBot="1" x14ac:dyDescent="0.35">
      <c r="A193" s="38">
        <v>192</v>
      </c>
      <c r="B193" s="39" t="s">
        <v>207</v>
      </c>
      <c r="C193" s="40" t="s">
        <v>159</v>
      </c>
      <c r="D193" s="40" t="s">
        <v>361</v>
      </c>
      <c r="E193" s="41" t="s">
        <v>1042</v>
      </c>
      <c r="F193" s="40" t="s">
        <v>1043</v>
      </c>
      <c r="G193" s="42">
        <v>3</v>
      </c>
      <c r="H193" s="39" t="s">
        <v>794</v>
      </c>
    </row>
    <row r="194" spans="1:8" ht="49.95" customHeight="1" thickBot="1" x14ac:dyDescent="0.35">
      <c r="A194" s="38">
        <v>193</v>
      </c>
      <c r="B194" s="39" t="s">
        <v>344</v>
      </c>
      <c r="C194" s="40" t="s">
        <v>1217</v>
      </c>
      <c r="D194" s="40" t="s">
        <v>368</v>
      </c>
      <c r="E194" s="41" t="s">
        <v>1042</v>
      </c>
      <c r="F194" s="40" t="s">
        <v>1048</v>
      </c>
      <c r="G194" s="42">
        <v>2</v>
      </c>
      <c r="H194" s="39" t="s">
        <v>805</v>
      </c>
    </row>
    <row r="195" spans="1:8" ht="49.95" customHeight="1" thickBot="1" x14ac:dyDescent="0.35">
      <c r="A195" s="38">
        <v>194</v>
      </c>
      <c r="B195" s="39" t="s">
        <v>207</v>
      </c>
      <c r="C195" s="40" t="s">
        <v>162</v>
      </c>
      <c r="D195" s="40" t="s">
        <v>361</v>
      </c>
      <c r="E195" s="41" t="s">
        <v>1051</v>
      </c>
      <c r="F195" s="40" t="s">
        <v>1043</v>
      </c>
      <c r="G195" s="42">
        <v>2</v>
      </c>
      <c r="H195" s="39" t="s">
        <v>1218</v>
      </c>
    </row>
    <row r="196" spans="1:8" ht="49.95" customHeight="1" thickBot="1" x14ac:dyDescent="0.35">
      <c r="A196" s="38">
        <v>195</v>
      </c>
      <c r="B196" s="39">
        <v>230723</v>
      </c>
      <c r="C196" s="41" t="s">
        <v>165</v>
      </c>
      <c r="D196" s="40" t="s">
        <v>364</v>
      </c>
      <c r="E196" s="41" t="s">
        <v>1042</v>
      </c>
      <c r="F196" s="40" t="s">
        <v>1043</v>
      </c>
      <c r="G196" s="42">
        <v>4</v>
      </c>
      <c r="H196" s="39" t="s">
        <v>866</v>
      </c>
    </row>
    <row r="197" spans="1:8" ht="49.95" customHeight="1" thickBot="1" x14ac:dyDescent="0.35">
      <c r="A197" s="38">
        <v>196</v>
      </c>
      <c r="B197" s="39">
        <v>240514</v>
      </c>
      <c r="C197" s="40" t="s">
        <v>1219</v>
      </c>
      <c r="D197" s="40" t="s">
        <v>364</v>
      </c>
      <c r="E197" s="41" t="s">
        <v>1042</v>
      </c>
      <c r="F197" s="40" t="s">
        <v>1043</v>
      </c>
      <c r="G197" s="42">
        <v>3</v>
      </c>
      <c r="H197" s="39" t="s">
        <v>1220</v>
      </c>
    </row>
    <row r="198" spans="1:8" ht="49.95" customHeight="1" thickBot="1" x14ac:dyDescent="0.35">
      <c r="A198" s="38">
        <v>197</v>
      </c>
      <c r="B198" s="39" t="s">
        <v>1157</v>
      </c>
      <c r="C198" s="40" t="s">
        <v>1221</v>
      </c>
      <c r="D198" s="40" t="s">
        <v>368</v>
      </c>
      <c r="E198" s="41" t="s">
        <v>1042</v>
      </c>
      <c r="F198" s="40" t="s">
        <v>1043</v>
      </c>
      <c r="G198" s="42">
        <v>4</v>
      </c>
      <c r="H198" s="39" t="s">
        <v>1222</v>
      </c>
    </row>
    <row r="199" spans="1:8" ht="49.95" customHeight="1" thickBot="1" x14ac:dyDescent="0.35">
      <c r="A199" s="38">
        <v>198</v>
      </c>
      <c r="B199" s="39">
        <v>230483</v>
      </c>
      <c r="C199" s="39" t="s">
        <v>161</v>
      </c>
      <c r="D199" s="40" t="s">
        <v>364</v>
      </c>
      <c r="E199" s="41" t="s">
        <v>1051</v>
      </c>
      <c r="F199" s="40" t="s">
        <v>1043</v>
      </c>
      <c r="G199" s="42">
        <v>2</v>
      </c>
      <c r="H199" s="39" t="s">
        <v>800</v>
      </c>
    </row>
    <row r="200" spans="1:8" ht="49.95" customHeight="1" thickBot="1" x14ac:dyDescent="0.35">
      <c r="A200" s="38">
        <v>199</v>
      </c>
      <c r="B200" s="39">
        <v>230484</v>
      </c>
      <c r="C200" s="39" t="s">
        <v>161</v>
      </c>
      <c r="D200" s="40" t="s">
        <v>363</v>
      </c>
      <c r="E200" s="41" t="s">
        <v>1051</v>
      </c>
      <c r="F200" s="40" t="s">
        <v>1043</v>
      </c>
      <c r="G200" s="42">
        <v>2</v>
      </c>
      <c r="H200" s="39" t="s">
        <v>800</v>
      </c>
    </row>
    <row r="201" spans="1:8" ht="49.95" customHeight="1" thickBot="1" x14ac:dyDescent="0.35">
      <c r="A201" s="38">
        <v>200</v>
      </c>
      <c r="B201" s="39">
        <v>240055</v>
      </c>
      <c r="C201" s="40" t="s">
        <v>970</v>
      </c>
      <c r="D201" s="40" t="s">
        <v>368</v>
      </c>
      <c r="E201" s="41" t="s">
        <v>1042</v>
      </c>
      <c r="F201" s="40" t="s">
        <v>1043</v>
      </c>
      <c r="G201" s="42">
        <v>3</v>
      </c>
      <c r="H201" s="39" t="s">
        <v>1223</v>
      </c>
    </row>
    <row r="202" spans="1:8" ht="49.95" customHeight="1" thickBot="1" x14ac:dyDescent="0.35">
      <c r="A202" s="38">
        <v>201</v>
      </c>
      <c r="B202" s="39">
        <v>230511</v>
      </c>
      <c r="C202" s="41" t="s">
        <v>164</v>
      </c>
      <c r="D202" s="40" t="s">
        <v>364</v>
      </c>
      <c r="E202" s="41" t="s">
        <v>1051</v>
      </c>
      <c r="F202" s="40" t="s">
        <v>1043</v>
      </c>
      <c r="G202" s="42">
        <v>5</v>
      </c>
      <c r="H202" s="39" t="s">
        <v>826</v>
      </c>
    </row>
    <row r="203" spans="1:8" ht="49.95" customHeight="1" thickBot="1" x14ac:dyDescent="0.35">
      <c r="A203" s="38">
        <v>202</v>
      </c>
      <c r="B203" s="39" t="s">
        <v>207</v>
      </c>
      <c r="C203" s="40" t="s">
        <v>166</v>
      </c>
      <c r="D203" s="40" t="s">
        <v>361</v>
      </c>
      <c r="E203" s="41" t="s">
        <v>1042</v>
      </c>
      <c r="F203" s="40" t="s">
        <v>1043</v>
      </c>
      <c r="G203" s="42">
        <v>2</v>
      </c>
      <c r="H203" s="39" t="s">
        <v>790</v>
      </c>
    </row>
    <row r="204" spans="1:8" ht="49.95" customHeight="1" thickBot="1" x14ac:dyDescent="0.35">
      <c r="A204" s="38">
        <v>203</v>
      </c>
      <c r="B204" s="39" t="s">
        <v>346</v>
      </c>
      <c r="C204" s="40" t="s">
        <v>175</v>
      </c>
      <c r="D204" s="40" t="s">
        <v>388</v>
      </c>
      <c r="E204" s="41" t="s">
        <v>1042</v>
      </c>
      <c r="F204" s="40" t="s">
        <v>1043</v>
      </c>
      <c r="G204" s="42">
        <v>3</v>
      </c>
      <c r="H204" s="39" t="s">
        <v>811</v>
      </c>
    </row>
    <row r="205" spans="1:8" ht="49.95" customHeight="1" thickBot="1" x14ac:dyDescent="0.35">
      <c r="A205" s="38">
        <v>204</v>
      </c>
      <c r="B205" s="39">
        <v>230557</v>
      </c>
      <c r="C205" s="40" t="s">
        <v>167</v>
      </c>
      <c r="D205" s="40" t="s">
        <v>365</v>
      </c>
      <c r="E205" s="41" t="s">
        <v>1042</v>
      </c>
      <c r="F205" s="40" t="s">
        <v>1043</v>
      </c>
      <c r="G205" s="42">
        <v>3</v>
      </c>
      <c r="H205" s="39" t="s">
        <v>807</v>
      </c>
    </row>
    <row r="206" spans="1:8" ht="49.95" customHeight="1" thickBot="1" x14ac:dyDescent="0.35">
      <c r="A206" s="38">
        <v>205</v>
      </c>
      <c r="B206" s="39">
        <v>230573</v>
      </c>
      <c r="C206" s="40" t="s">
        <v>168</v>
      </c>
      <c r="D206" s="40" t="s">
        <v>367</v>
      </c>
      <c r="E206" s="41" t="s">
        <v>1042</v>
      </c>
      <c r="F206" s="40" t="s">
        <v>1043</v>
      </c>
      <c r="G206" s="42">
        <v>3</v>
      </c>
      <c r="H206" s="39" t="s">
        <v>1224</v>
      </c>
    </row>
    <row r="207" spans="1:8" ht="49.95" customHeight="1" thickBot="1" x14ac:dyDescent="0.35">
      <c r="A207" s="38">
        <v>206</v>
      </c>
      <c r="B207" s="39">
        <v>230615</v>
      </c>
      <c r="C207" s="40" t="s">
        <v>449</v>
      </c>
      <c r="D207" s="40" t="s">
        <v>368</v>
      </c>
      <c r="E207" s="41" t="s">
        <v>1042</v>
      </c>
      <c r="F207" s="40" t="s">
        <v>1048</v>
      </c>
      <c r="G207" s="42">
        <v>2</v>
      </c>
      <c r="H207" s="39" t="s">
        <v>870</v>
      </c>
    </row>
    <row r="208" spans="1:8" ht="49.95" customHeight="1" thickBot="1" x14ac:dyDescent="0.35">
      <c r="A208" s="38">
        <v>207</v>
      </c>
      <c r="B208" s="39">
        <v>230648</v>
      </c>
      <c r="C208" s="40" t="s">
        <v>169</v>
      </c>
      <c r="D208" s="40" t="s">
        <v>367</v>
      </c>
      <c r="E208" s="41" t="s">
        <v>1042</v>
      </c>
      <c r="F208" s="40" t="s">
        <v>1043</v>
      </c>
      <c r="G208" s="42">
        <v>4</v>
      </c>
      <c r="H208" s="39" t="s">
        <v>817</v>
      </c>
    </row>
    <row r="209" spans="1:8" ht="49.95" customHeight="1" thickBot="1" x14ac:dyDescent="0.35">
      <c r="A209" s="38">
        <v>208</v>
      </c>
      <c r="B209" s="39">
        <v>230811</v>
      </c>
      <c r="C209" s="40" t="s">
        <v>439</v>
      </c>
      <c r="D209" s="40" t="s">
        <v>368</v>
      </c>
      <c r="E209" s="41" t="s">
        <v>1042</v>
      </c>
      <c r="F209" s="40" t="s">
        <v>1043</v>
      </c>
      <c r="G209" s="42">
        <v>3</v>
      </c>
      <c r="H209" s="39" t="s">
        <v>861</v>
      </c>
    </row>
    <row r="210" spans="1:8" ht="49.95" customHeight="1" thickBot="1" x14ac:dyDescent="0.35">
      <c r="A210" s="38">
        <v>209</v>
      </c>
      <c r="B210" s="39" t="s">
        <v>341</v>
      </c>
      <c r="C210" s="40" t="s">
        <v>1225</v>
      </c>
      <c r="D210" s="40" t="s">
        <v>341</v>
      </c>
      <c r="E210" s="41" t="s">
        <v>1042</v>
      </c>
      <c r="F210" s="40" t="s">
        <v>1043</v>
      </c>
      <c r="G210" s="42">
        <v>2</v>
      </c>
      <c r="H210" s="39" t="s">
        <v>851</v>
      </c>
    </row>
    <row r="211" spans="1:8" ht="49.95" customHeight="1" thickBot="1" x14ac:dyDescent="0.35">
      <c r="A211" s="38">
        <v>210</v>
      </c>
      <c r="B211" s="39" t="s">
        <v>546</v>
      </c>
      <c r="C211" s="40" t="s">
        <v>454</v>
      </c>
      <c r="D211" s="40" t="s">
        <v>389</v>
      </c>
      <c r="E211" s="41" t="s">
        <v>1042</v>
      </c>
      <c r="F211" s="40" t="s">
        <v>1043</v>
      </c>
      <c r="G211" s="42">
        <v>3</v>
      </c>
      <c r="H211" s="39" t="s">
        <v>874</v>
      </c>
    </row>
    <row r="212" spans="1:8" ht="49.95" customHeight="1" thickBot="1" x14ac:dyDescent="0.35">
      <c r="A212" s="38">
        <v>211</v>
      </c>
      <c r="B212" s="39">
        <v>230882</v>
      </c>
      <c r="C212" s="40" t="s">
        <v>171</v>
      </c>
      <c r="D212" s="40" t="s">
        <v>364</v>
      </c>
      <c r="E212" s="41" t="s">
        <v>1042</v>
      </c>
      <c r="F212" s="40" t="s">
        <v>1043</v>
      </c>
      <c r="G212" s="42">
        <v>4</v>
      </c>
      <c r="H212" s="39" t="s">
        <v>848</v>
      </c>
    </row>
    <row r="213" spans="1:8" ht="49.95" customHeight="1" thickBot="1" x14ac:dyDescent="0.35">
      <c r="A213" s="38">
        <v>212</v>
      </c>
      <c r="B213" s="39" t="s">
        <v>1226</v>
      </c>
      <c r="C213" s="40" t="s">
        <v>1227</v>
      </c>
      <c r="D213" s="40" t="s">
        <v>368</v>
      </c>
      <c r="E213" s="41" t="s">
        <v>1042</v>
      </c>
      <c r="F213" s="40" t="s">
        <v>1043</v>
      </c>
      <c r="G213" s="42">
        <v>3</v>
      </c>
      <c r="H213" s="39" t="s">
        <v>1228</v>
      </c>
    </row>
    <row r="214" spans="1:8" ht="49.95" customHeight="1" thickBot="1" x14ac:dyDescent="0.35">
      <c r="A214" s="38">
        <v>213</v>
      </c>
      <c r="B214" s="39">
        <v>240608</v>
      </c>
      <c r="C214" s="40" t="s">
        <v>512</v>
      </c>
      <c r="D214" s="40" t="s">
        <v>364</v>
      </c>
      <c r="E214" s="41" t="s">
        <v>1042</v>
      </c>
      <c r="F214" s="40" t="s">
        <v>1043</v>
      </c>
      <c r="G214" s="42">
        <v>4</v>
      </c>
      <c r="H214" s="39" t="s">
        <v>1229</v>
      </c>
    </row>
    <row r="215" spans="1:8" ht="49.95" customHeight="1" thickBot="1" x14ac:dyDescent="0.35">
      <c r="A215" s="38">
        <v>214</v>
      </c>
      <c r="B215" s="39" t="s">
        <v>539</v>
      </c>
      <c r="C215" s="40" t="s">
        <v>1230</v>
      </c>
      <c r="D215" s="40" t="s">
        <v>389</v>
      </c>
      <c r="E215" s="41" t="s">
        <v>1042</v>
      </c>
      <c r="F215" s="40" t="s">
        <v>1043</v>
      </c>
      <c r="G215" s="42">
        <v>3</v>
      </c>
      <c r="H215" s="39" t="s">
        <v>862</v>
      </c>
    </row>
    <row r="216" spans="1:8" ht="49.95" customHeight="1" thickBot="1" x14ac:dyDescent="0.35">
      <c r="A216" s="38">
        <v>215</v>
      </c>
      <c r="B216" s="39" t="s">
        <v>1157</v>
      </c>
      <c r="C216" s="40" t="s">
        <v>1231</v>
      </c>
      <c r="D216" s="40" t="s">
        <v>368</v>
      </c>
      <c r="E216" s="41" t="s">
        <v>1042</v>
      </c>
      <c r="F216" s="40" t="s">
        <v>1043</v>
      </c>
      <c r="G216" s="42">
        <v>3</v>
      </c>
      <c r="H216" s="39" t="s">
        <v>1232</v>
      </c>
    </row>
    <row r="217" spans="1:8" ht="49.95" customHeight="1" thickBot="1" x14ac:dyDescent="0.35">
      <c r="A217" s="38">
        <v>216</v>
      </c>
      <c r="B217" s="39">
        <v>230720</v>
      </c>
      <c r="C217" s="41" t="s">
        <v>1233</v>
      </c>
      <c r="D217" s="40" t="s">
        <v>368</v>
      </c>
      <c r="E217" s="41" t="s">
        <v>1042</v>
      </c>
      <c r="F217" s="40" t="s">
        <v>1043</v>
      </c>
      <c r="G217" s="42">
        <v>3</v>
      </c>
      <c r="H217" s="39" t="s">
        <v>827</v>
      </c>
    </row>
    <row r="218" spans="1:8" ht="49.95" customHeight="1" thickBot="1" x14ac:dyDescent="0.35">
      <c r="A218" s="38">
        <v>217</v>
      </c>
      <c r="B218" s="39">
        <v>230718</v>
      </c>
      <c r="C218" s="40" t="s">
        <v>442</v>
      </c>
      <c r="D218" s="40" t="s">
        <v>368</v>
      </c>
      <c r="E218" s="41" t="s">
        <v>1042</v>
      </c>
      <c r="F218" s="40" t="s">
        <v>1043</v>
      </c>
      <c r="G218" s="43">
        <v>2</v>
      </c>
      <c r="H218" s="40" t="s">
        <v>1234</v>
      </c>
    </row>
    <row r="219" spans="1:8" ht="49.95" customHeight="1" thickBot="1" x14ac:dyDescent="0.35">
      <c r="A219" s="38">
        <v>218</v>
      </c>
      <c r="B219" s="39" t="s">
        <v>345</v>
      </c>
      <c r="C219" s="40" t="s">
        <v>172</v>
      </c>
      <c r="D219" s="40" t="s">
        <v>341</v>
      </c>
      <c r="E219" s="41" t="s">
        <v>1042</v>
      </c>
      <c r="F219" s="40" t="s">
        <v>1043</v>
      </c>
      <c r="G219" s="42">
        <v>2</v>
      </c>
      <c r="H219" s="39" t="s">
        <v>791</v>
      </c>
    </row>
    <row r="220" spans="1:8" ht="49.95" customHeight="1" thickBot="1" x14ac:dyDescent="0.35">
      <c r="A220" s="38">
        <v>219</v>
      </c>
      <c r="B220" s="39">
        <v>230738</v>
      </c>
      <c r="C220" s="40" t="s">
        <v>1235</v>
      </c>
      <c r="D220" s="40" t="s">
        <v>368</v>
      </c>
      <c r="E220" s="41" t="s">
        <v>1042</v>
      </c>
      <c r="F220" s="40" t="s">
        <v>1043</v>
      </c>
      <c r="G220" s="42">
        <v>3</v>
      </c>
      <c r="H220" s="39" t="s">
        <v>840</v>
      </c>
    </row>
    <row r="221" spans="1:8" ht="49.95" customHeight="1" thickBot="1" x14ac:dyDescent="0.35">
      <c r="A221" s="38">
        <v>220</v>
      </c>
      <c r="B221" s="39" t="s">
        <v>590</v>
      </c>
      <c r="C221" s="47" t="s">
        <v>1236</v>
      </c>
      <c r="D221" s="47" t="s">
        <v>389</v>
      </c>
      <c r="E221" s="48" t="s">
        <v>1045</v>
      </c>
      <c r="F221" s="47" t="s">
        <v>1043</v>
      </c>
      <c r="G221" s="49">
        <v>2</v>
      </c>
      <c r="H221" s="47" t="s">
        <v>658</v>
      </c>
    </row>
    <row r="222" spans="1:8" ht="49.95" customHeight="1" thickBot="1" x14ac:dyDescent="0.35">
      <c r="A222" s="38">
        <v>221</v>
      </c>
      <c r="B222" s="39" t="s">
        <v>568</v>
      </c>
      <c r="C222" s="40" t="s">
        <v>493</v>
      </c>
      <c r="D222" s="40" t="s">
        <v>389</v>
      </c>
      <c r="E222" s="41" t="s">
        <v>1042</v>
      </c>
      <c r="F222" s="40" t="s">
        <v>1043</v>
      </c>
      <c r="G222" s="42">
        <v>2</v>
      </c>
      <c r="H222" s="39" t="s">
        <v>906</v>
      </c>
    </row>
    <row r="223" spans="1:8" ht="49.95" customHeight="1" thickBot="1" x14ac:dyDescent="0.35">
      <c r="A223" s="38">
        <v>222</v>
      </c>
      <c r="B223" s="39" t="s">
        <v>347</v>
      </c>
      <c r="C223" s="40" t="s">
        <v>177</v>
      </c>
      <c r="D223" s="40" t="s">
        <v>341</v>
      </c>
      <c r="E223" s="41" t="s">
        <v>1042</v>
      </c>
      <c r="F223" s="40" t="s">
        <v>1043</v>
      </c>
      <c r="G223" s="42">
        <v>2</v>
      </c>
      <c r="H223" s="39" t="s">
        <v>792</v>
      </c>
    </row>
    <row r="224" spans="1:8" ht="49.95" customHeight="1" thickBot="1" x14ac:dyDescent="0.35">
      <c r="A224" s="38">
        <v>223</v>
      </c>
      <c r="B224" s="39" t="s">
        <v>207</v>
      </c>
      <c r="C224" s="41" t="s">
        <v>1237</v>
      </c>
      <c r="D224" s="40" t="s">
        <v>361</v>
      </c>
      <c r="E224" s="41" t="s">
        <v>1045</v>
      </c>
      <c r="F224" s="40" t="s">
        <v>1043</v>
      </c>
      <c r="G224" s="42">
        <v>4</v>
      </c>
      <c r="H224" s="39" t="s">
        <v>824</v>
      </c>
    </row>
    <row r="225" spans="1:8" ht="49.95" customHeight="1" thickBot="1" x14ac:dyDescent="0.35">
      <c r="A225" s="38">
        <v>224</v>
      </c>
      <c r="B225" s="39" t="s">
        <v>345</v>
      </c>
      <c r="C225" s="40" t="s">
        <v>1238</v>
      </c>
      <c r="D225" s="40" t="s">
        <v>341</v>
      </c>
      <c r="E225" s="41" t="s">
        <v>1042</v>
      </c>
      <c r="F225" s="40" t="s">
        <v>1043</v>
      </c>
      <c r="G225" s="42">
        <v>2</v>
      </c>
      <c r="H225" s="39" t="s">
        <v>795</v>
      </c>
    </row>
    <row r="226" spans="1:8" ht="49.95" customHeight="1" thickBot="1" x14ac:dyDescent="0.35">
      <c r="A226" s="38">
        <v>225</v>
      </c>
      <c r="B226" s="39">
        <v>2023816</v>
      </c>
      <c r="C226" s="40" t="s">
        <v>436</v>
      </c>
      <c r="D226" s="40" t="s">
        <v>368</v>
      </c>
      <c r="E226" s="41" t="s">
        <v>1042</v>
      </c>
      <c r="F226" s="40" t="s">
        <v>1043</v>
      </c>
      <c r="G226" s="42">
        <v>4</v>
      </c>
      <c r="H226" s="39" t="s">
        <v>858</v>
      </c>
    </row>
    <row r="227" spans="1:8" ht="49.95" customHeight="1" thickBot="1" x14ac:dyDescent="0.35">
      <c r="A227" s="38">
        <v>226</v>
      </c>
      <c r="B227" s="39" t="s">
        <v>1239</v>
      </c>
      <c r="C227" s="40" t="s">
        <v>1240</v>
      </c>
      <c r="D227" s="40" t="s">
        <v>364</v>
      </c>
      <c r="E227" s="41" t="s">
        <v>1042</v>
      </c>
      <c r="F227" s="40" t="s">
        <v>1043</v>
      </c>
      <c r="G227" s="43">
        <v>3</v>
      </c>
      <c r="H227" s="40" t="s">
        <v>1241</v>
      </c>
    </row>
    <row r="228" spans="1:8" ht="49.95" customHeight="1" thickBot="1" x14ac:dyDescent="0.35">
      <c r="A228" s="38">
        <v>227</v>
      </c>
      <c r="B228" s="39" t="s">
        <v>582</v>
      </c>
      <c r="C228" s="40" t="s">
        <v>515</v>
      </c>
      <c r="D228" s="40" t="s">
        <v>389</v>
      </c>
      <c r="E228" s="41" t="s">
        <v>1042</v>
      </c>
      <c r="F228" s="40" t="s">
        <v>1043</v>
      </c>
      <c r="G228" s="42">
        <v>3</v>
      </c>
      <c r="H228" s="39" t="s">
        <v>920</v>
      </c>
    </row>
    <row r="229" spans="1:8" ht="49.95" customHeight="1" thickBot="1" x14ac:dyDescent="0.35">
      <c r="A229" s="38">
        <v>228</v>
      </c>
      <c r="B229" s="39">
        <v>230892</v>
      </c>
      <c r="C229" s="40" t="s">
        <v>452</v>
      </c>
      <c r="D229" s="40" t="s">
        <v>368</v>
      </c>
      <c r="E229" s="41" t="s">
        <v>1042</v>
      </c>
      <c r="F229" s="40" t="s">
        <v>1043</v>
      </c>
      <c r="G229" s="42">
        <v>3</v>
      </c>
      <c r="H229" s="39" t="s">
        <v>873</v>
      </c>
    </row>
    <row r="230" spans="1:8" ht="49.95" customHeight="1" thickBot="1" x14ac:dyDescent="0.35">
      <c r="A230" s="38">
        <v>229</v>
      </c>
      <c r="B230" s="39" t="s">
        <v>350</v>
      </c>
      <c r="C230" s="40" t="s">
        <v>182</v>
      </c>
      <c r="D230" s="40" t="s">
        <v>388</v>
      </c>
      <c r="E230" s="41" t="s">
        <v>1051</v>
      </c>
      <c r="F230" s="40" t="s">
        <v>1043</v>
      </c>
      <c r="G230" s="42">
        <v>4</v>
      </c>
      <c r="H230" s="39" t="s">
        <v>822</v>
      </c>
    </row>
    <row r="231" spans="1:8" ht="49.95" customHeight="1" thickBot="1" x14ac:dyDescent="0.35">
      <c r="A231" s="38">
        <v>230</v>
      </c>
      <c r="B231" s="39" t="s">
        <v>1018</v>
      </c>
      <c r="C231" s="40" t="s">
        <v>1242</v>
      </c>
      <c r="D231" s="40" t="s">
        <v>389</v>
      </c>
      <c r="E231" s="41" t="s">
        <v>1042</v>
      </c>
      <c r="F231" s="40" t="s">
        <v>1043</v>
      </c>
      <c r="G231" s="42">
        <v>3</v>
      </c>
      <c r="H231" s="39" t="s">
        <v>1243</v>
      </c>
    </row>
    <row r="232" spans="1:8" ht="49.95" customHeight="1" thickBot="1" x14ac:dyDescent="0.35">
      <c r="A232" s="38">
        <v>231</v>
      </c>
      <c r="B232" s="39" t="s">
        <v>341</v>
      </c>
      <c r="C232" s="40" t="s">
        <v>1244</v>
      </c>
      <c r="D232" s="40" t="s">
        <v>341</v>
      </c>
      <c r="E232" s="41" t="s">
        <v>1042</v>
      </c>
      <c r="F232" s="40" t="s">
        <v>1245</v>
      </c>
      <c r="G232" s="42">
        <v>2</v>
      </c>
      <c r="H232" s="39" t="s">
        <v>1246</v>
      </c>
    </row>
    <row r="233" spans="1:8" ht="49.95" customHeight="1" thickBot="1" x14ac:dyDescent="0.35">
      <c r="A233" s="38">
        <v>232</v>
      </c>
      <c r="B233" s="39" t="s">
        <v>1247</v>
      </c>
      <c r="C233" s="40" t="s">
        <v>1248</v>
      </c>
      <c r="D233" s="40" t="s">
        <v>389</v>
      </c>
      <c r="E233" s="41" t="s">
        <v>1042</v>
      </c>
      <c r="F233" s="40" t="s">
        <v>1043</v>
      </c>
      <c r="G233" s="42">
        <v>3</v>
      </c>
      <c r="H233" s="39" t="s">
        <v>1249</v>
      </c>
    </row>
    <row r="234" spans="1:8" ht="49.95" customHeight="1" thickBot="1" x14ac:dyDescent="0.35">
      <c r="A234" s="38">
        <v>233</v>
      </c>
      <c r="B234" s="39" t="s">
        <v>349</v>
      </c>
      <c r="C234" s="40" t="s">
        <v>181</v>
      </c>
      <c r="D234" s="40" t="s">
        <v>388</v>
      </c>
      <c r="E234" s="41" t="s">
        <v>1042</v>
      </c>
      <c r="F234" s="40" t="s">
        <v>1043</v>
      </c>
      <c r="G234" s="42">
        <v>4</v>
      </c>
      <c r="H234" s="39" t="s">
        <v>1250</v>
      </c>
    </row>
    <row r="235" spans="1:8" ht="49.95" customHeight="1" thickBot="1" x14ac:dyDescent="0.35">
      <c r="A235" s="38">
        <v>234</v>
      </c>
      <c r="B235" s="39">
        <v>230877</v>
      </c>
      <c r="C235" s="40" t="s">
        <v>458</v>
      </c>
      <c r="D235" s="40" t="s">
        <v>368</v>
      </c>
      <c r="E235" s="41" t="s">
        <v>1042</v>
      </c>
      <c r="F235" s="40" t="s">
        <v>1048</v>
      </c>
      <c r="G235" s="42">
        <v>4</v>
      </c>
      <c r="H235" s="39" t="s">
        <v>1251</v>
      </c>
    </row>
    <row r="236" spans="1:8" ht="49.95" customHeight="1" thickBot="1" x14ac:dyDescent="0.35">
      <c r="A236" s="38">
        <v>235</v>
      </c>
      <c r="B236" s="39" t="s">
        <v>1252</v>
      </c>
      <c r="C236" s="40" t="s">
        <v>183</v>
      </c>
      <c r="D236" s="40" t="s">
        <v>389</v>
      </c>
      <c r="E236" s="41" t="s">
        <v>1042</v>
      </c>
      <c r="F236" s="40" t="s">
        <v>1043</v>
      </c>
      <c r="G236" s="42">
        <v>4</v>
      </c>
      <c r="H236" s="39" t="s">
        <v>843</v>
      </c>
    </row>
    <row r="237" spans="1:8" ht="49.95" customHeight="1" thickBot="1" x14ac:dyDescent="0.35">
      <c r="A237" s="38">
        <v>236</v>
      </c>
      <c r="B237" s="39">
        <v>230929</v>
      </c>
      <c r="C237" s="40" t="s">
        <v>455</v>
      </c>
      <c r="D237" s="40" t="s">
        <v>363</v>
      </c>
      <c r="E237" s="41" t="s">
        <v>1045</v>
      </c>
      <c r="F237" s="40" t="s">
        <v>1043</v>
      </c>
      <c r="G237" s="42">
        <v>3</v>
      </c>
      <c r="H237" s="39" t="s">
        <v>1253</v>
      </c>
    </row>
    <row r="238" spans="1:8" ht="49.95" customHeight="1" thickBot="1" x14ac:dyDescent="0.35">
      <c r="A238" s="38">
        <v>237</v>
      </c>
      <c r="B238" s="39" t="s">
        <v>356</v>
      </c>
      <c r="C238" s="40" t="s">
        <v>194</v>
      </c>
      <c r="D238" s="40" t="s">
        <v>388</v>
      </c>
      <c r="E238" s="41" t="s">
        <v>1042</v>
      </c>
      <c r="F238" s="40" t="s">
        <v>1043</v>
      </c>
      <c r="G238" s="42">
        <v>2</v>
      </c>
      <c r="H238" s="39" t="s">
        <v>814</v>
      </c>
    </row>
    <row r="239" spans="1:8" ht="49.95" customHeight="1" thickBot="1" x14ac:dyDescent="0.35">
      <c r="A239" s="38">
        <v>238</v>
      </c>
      <c r="B239" s="39" t="s">
        <v>341</v>
      </c>
      <c r="C239" s="40" t="s">
        <v>187</v>
      </c>
      <c r="D239" s="40" t="s">
        <v>341</v>
      </c>
      <c r="E239" s="41" t="s">
        <v>1042</v>
      </c>
      <c r="F239" s="40" t="s">
        <v>1245</v>
      </c>
      <c r="G239" s="42">
        <v>2</v>
      </c>
      <c r="H239" s="39" t="s">
        <v>806</v>
      </c>
    </row>
    <row r="240" spans="1:8" ht="49.95" customHeight="1" thickBot="1" x14ac:dyDescent="0.35">
      <c r="A240" s="38">
        <v>239</v>
      </c>
      <c r="B240" s="39" t="s">
        <v>341</v>
      </c>
      <c r="C240" s="40" t="s">
        <v>185</v>
      </c>
      <c r="D240" s="40" t="s">
        <v>341</v>
      </c>
      <c r="E240" s="41" t="s">
        <v>1042</v>
      </c>
      <c r="F240" s="40" t="s">
        <v>1245</v>
      </c>
      <c r="G240" s="42">
        <v>2</v>
      </c>
      <c r="H240" s="39" t="s">
        <v>808</v>
      </c>
    </row>
    <row r="241" spans="1:8" ht="49.95" customHeight="1" thickBot="1" x14ac:dyDescent="0.35">
      <c r="A241" s="38">
        <v>240</v>
      </c>
      <c r="B241" s="39" t="s">
        <v>341</v>
      </c>
      <c r="C241" s="40" t="s">
        <v>186</v>
      </c>
      <c r="D241" s="40" t="s">
        <v>341</v>
      </c>
      <c r="E241" s="41" t="s">
        <v>1042</v>
      </c>
      <c r="F241" s="40" t="s">
        <v>1245</v>
      </c>
      <c r="G241" s="42">
        <v>2</v>
      </c>
      <c r="H241" s="39" t="s">
        <v>810</v>
      </c>
    </row>
    <row r="242" spans="1:8" ht="49.95" customHeight="1" thickBot="1" x14ac:dyDescent="0.35">
      <c r="A242" s="38">
        <v>241</v>
      </c>
      <c r="B242" s="39" t="s">
        <v>207</v>
      </c>
      <c r="C242" s="41" t="s">
        <v>188</v>
      </c>
      <c r="D242" s="40" t="s">
        <v>361</v>
      </c>
      <c r="E242" s="41" t="s">
        <v>1042</v>
      </c>
      <c r="F242" s="40" t="s">
        <v>1043</v>
      </c>
      <c r="G242" s="42">
        <v>2</v>
      </c>
      <c r="H242" s="39" t="s">
        <v>831</v>
      </c>
    </row>
    <row r="243" spans="1:8" ht="49.95" customHeight="1" thickBot="1" x14ac:dyDescent="0.35">
      <c r="A243" s="38">
        <v>242</v>
      </c>
      <c r="B243" s="39" t="s">
        <v>207</v>
      </c>
      <c r="C243" s="40" t="s">
        <v>184</v>
      </c>
      <c r="D243" s="40" t="s">
        <v>361</v>
      </c>
      <c r="E243" s="41" t="s">
        <v>1042</v>
      </c>
      <c r="F243" s="40" t="s">
        <v>1043</v>
      </c>
      <c r="G243" s="42">
        <v>3</v>
      </c>
      <c r="H243" s="39" t="s">
        <v>834</v>
      </c>
    </row>
    <row r="244" spans="1:8" ht="49.95" customHeight="1" thickBot="1" x14ac:dyDescent="0.35">
      <c r="A244" s="38">
        <v>243</v>
      </c>
      <c r="B244" s="39">
        <v>240135</v>
      </c>
      <c r="C244" s="40" t="s">
        <v>470</v>
      </c>
      <c r="D244" s="40" t="s">
        <v>364</v>
      </c>
      <c r="E244" s="41" t="s">
        <v>1042</v>
      </c>
      <c r="F244" s="40" t="s">
        <v>1043</v>
      </c>
      <c r="G244" s="42">
        <v>3</v>
      </c>
      <c r="H244" s="39" t="s">
        <v>1254</v>
      </c>
    </row>
    <row r="245" spans="1:8" ht="49.95" customHeight="1" thickBot="1" x14ac:dyDescent="0.35">
      <c r="A245" s="38">
        <v>244</v>
      </c>
      <c r="B245" s="39">
        <v>240136</v>
      </c>
      <c r="C245" s="40" t="s">
        <v>470</v>
      </c>
      <c r="D245" s="40" t="s">
        <v>364</v>
      </c>
      <c r="E245" s="41" t="s">
        <v>1042</v>
      </c>
      <c r="F245" s="40" t="s">
        <v>1043</v>
      </c>
      <c r="G245" s="42">
        <v>3</v>
      </c>
      <c r="H245" s="39" t="s">
        <v>1254</v>
      </c>
    </row>
    <row r="246" spans="1:8" ht="49.95" customHeight="1" thickBot="1" x14ac:dyDescent="0.35">
      <c r="A246" s="38">
        <v>245</v>
      </c>
      <c r="B246" s="39">
        <v>240173</v>
      </c>
      <c r="C246" s="40" t="s">
        <v>1255</v>
      </c>
      <c r="D246" s="40" t="s">
        <v>368</v>
      </c>
      <c r="E246" s="41" t="s">
        <v>1042</v>
      </c>
      <c r="F246" s="40" t="s">
        <v>1043</v>
      </c>
      <c r="G246" s="43">
        <v>3</v>
      </c>
      <c r="H246" s="40" t="s">
        <v>1256</v>
      </c>
    </row>
    <row r="247" spans="1:8" ht="49.95" customHeight="1" thickBot="1" x14ac:dyDescent="0.35">
      <c r="A247" s="38">
        <v>246</v>
      </c>
      <c r="B247" s="39">
        <v>240137</v>
      </c>
      <c r="C247" s="40" t="s">
        <v>444</v>
      </c>
      <c r="D247" s="40" t="s">
        <v>368</v>
      </c>
      <c r="E247" s="41" t="s">
        <v>1042</v>
      </c>
      <c r="F247" s="40" t="s">
        <v>1048</v>
      </c>
      <c r="G247" s="42">
        <v>3</v>
      </c>
      <c r="H247" s="39" t="s">
        <v>865</v>
      </c>
    </row>
    <row r="248" spans="1:8" ht="49.95" customHeight="1" thickBot="1" x14ac:dyDescent="0.35">
      <c r="A248" s="38">
        <v>247</v>
      </c>
      <c r="B248" s="39" t="s">
        <v>352</v>
      </c>
      <c r="C248" s="40" t="s">
        <v>189</v>
      </c>
      <c r="D248" s="40" t="s">
        <v>388</v>
      </c>
      <c r="E248" s="41" t="s">
        <v>1045</v>
      </c>
      <c r="F248" s="40" t="s">
        <v>1043</v>
      </c>
      <c r="G248" s="42">
        <v>2</v>
      </c>
      <c r="H248" s="39" t="s">
        <v>838</v>
      </c>
    </row>
    <row r="249" spans="1:8" ht="49.95" customHeight="1" thickBot="1" x14ac:dyDescent="0.35">
      <c r="A249" s="38">
        <v>248</v>
      </c>
      <c r="B249" s="39" t="s">
        <v>1257</v>
      </c>
      <c r="C249" s="40" t="s">
        <v>1258</v>
      </c>
      <c r="D249" s="40" t="s">
        <v>389</v>
      </c>
      <c r="E249" s="41" t="s">
        <v>1042</v>
      </c>
      <c r="F249" s="40" t="s">
        <v>1043</v>
      </c>
      <c r="G249" s="42">
        <v>4</v>
      </c>
      <c r="H249" s="39" t="s">
        <v>1259</v>
      </c>
    </row>
    <row r="250" spans="1:8" ht="49.95" customHeight="1" thickBot="1" x14ac:dyDescent="0.35">
      <c r="A250" s="38">
        <v>249</v>
      </c>
      <c r="B250" s="39" t="s">
        <v>354</v>
      </c>
      <c r="C250" s="40" t="s">
        <v>1260</v>
      </c>
      <c r="D250" s="40" t="s">
        <v>389</v>
      </c>
      <c r="E250" s="41" t="s">
        <v>1042</v>
      </c>
      <c r="F250" s="40" t="s">
        <v>1043</v>
      </c>
      <c r="G250" s="42">
        <v>2</v>
      </c>
      <c r="H250" s="39" t="s">
        <v>850</v>
      </c>
    </row>
    <row r="251" spans="1:8" ht="49.95" customHeight="1" thickBot="1" x14ac:dyDescent="0.35">
      <c r="A251" s="38">
        <v>250</v>
      </c>
      <c r="B251" s="39" t="s">
        <v>341</v>
      </c>
      <c r="C251" s="40" t="s">
        <v>190</v>
      </c>
      <c r="D251" s="40" t="s">
        <v>341</v>
      </c>
      <c r="E251" s="41" t="s">
        <v>1051</v>
      </c>
      <c r="F251" s="40" t="s">
        <v>1261</v>
      </c>
      <c r="G251" s="42">
        <v>2</v>
      </c>
      <c r="H251" s="39" t="s">
        <v>818</v>
      </c>
    </row>
    <row r="252" spans="1:8" ht="49.95" customHeight="1" thickBot="1" x14ac:dyDescent="0.35">
      <c r="A252" s="38">
        <v>251</v>
      </c>
      <c r="B252" s="39" t="s">
        <v>341</v>
      </c>
      <c r="C252" s="40" t="s">
        <v>190</v>
      </c>
      <c r="D252" s="40" t="s">
        <v>341</v>
      </c>
      <c r="E252" s="41" t="s">
        <v>1051</v>
      </c>
      <c r="F252" s="40" t="s">
        <v>1261</v>
      </c>
      <c r="G252" s="42">
        <v>2</v>
      </c>
      <c r="H252" s="39" t="s">
        <v>818</v>
      </c>
    </row>
    <row r="253" spans="1:8" ht="49.95" customHeight="1" thickBot="1" x14ac:dyDescent="0.35">
      <c r="A253" s="38">
        <v>252</v>
      </c>
      <c r="B253" s="39" t="s">
        <v>341</v>
      </c>
      <c r="C253" s="40" t="s">
        <v>190</v>
      </c>
      <c r="D253" s="40" t="s">
        <v>341</v>
      </c>
      <c r="E253" s="41" t="s">
        <v>1051</v>
      </c>
      <c r="F253" s="40" t="s">
        <v>1261</v>
      </c>
      <c r="G253" s="42">
        <v>2</v>
      </c>
      <c r="H253" s="39" t="s">
        <v>818</v>
      </c>
    </row>
    <row r="254" spans="1:8" ht="49.95" customHeight="1" thickBot="1" x14ac:dyDescent="0.35">
      <c r="A254" s="38">
        <v>253</v>
      </c>
      <c r="B254" s="39" t="s">
        <v>353</v>
      </c>
      <c r="C254" s="40" t="s">
        <v>191</v>
      </c>
      <c r="D254" s="40" t="s">
        <v>389</v>
      </c>
      <c r="E254" s="41" t="s">
        <v>1051</v>
      </c>
      <c r="F254" s="40" t="s">
        <v>1043</v>
      </c>
      <c r="G254" s="42">
        <v>3</v>
      </c>
      <c r="H254" s="39" t="s">
        <v>837</v>
      </c>
    </row>
    <row r="255" spans="1:8" ht="49.95" customHeight="1" thickBot="1" x14ac:dyDescent="0.35">
      <c r="A255" s="38">
        <v>254</v>
      </c>
      <c r="B255" s="39">
        <v>240056</v>
      </c>
      <c r="C255" s="40" t="s">
        <v>468</v>
      </c>
      <c r="D255" s="40" t="s">
        <v>368</v>
      </c>
      <c r="E255" s="41" t="s">
        <v>1042</v>
      </c>
      <c r="F255" s="40" t="s">
        <v>1048</v>
      </c>
      <c r="G255" s="42">
        <v>3</v>
      </c>
      <c r="H255" s="39" t="s">
        <v>1262</v>
      </c>
    </row>
    <row r="256" spans="1:8" ht="49.95" customHeight="1" thickBot="1" x14ac:dyDescent="0.35">
      <c r="A256" s="38">
        <v>255</v>
      </c>
      <c r="B256" s="39" t="s">
        <v>341</v>
      </c>
      <c r="C256" s="40" t="s">
        <v>195</v>
      </c>
      <c r="D256" s="40" t="s">
        <v>341</v>
      </c>
      <c r="E256" s="41" t="s">
        <v>1042</v>
      </c>
      <c r="F256" s="40" t="s">
        <v>1043</v>
      </c>
      <c r="G256" s="42">
        <v>2</v>
      </c>
      <c r="H256" s="39" t="s">
        <v>823</v>
      </c>
    </row>
    <row r="257" spans="1:8" ht="49.95" customHeight="1" thickBot="1" x14ac:dyDescent="0.35">
      <c r="A257" s="38">
        <v>256</v>
      </c>
      <c r="B257" s="39" t="s">
        <v>341</v>
      </c>
      <c r="C257" s="40" t="s">
        <v>196</v>
      </c>
      <c r="D257" s="40" t="s">
        <v>341</v>
      </c>
      <c r="E257" s="41" t="s">
        <v>1042</v>
      </c>
      <c r="F257" s="40" t="s">
        <v>1043</v>
      </c>
      <c r="G257" s="42">
        <v>2</v>
      </c>
      <c r="H257" s="39" t="s">
        <v>828</v>
      </c>
    </row>
    <row r="258" spans="1:8" ht="49.95" customHeight="1" thickBot="1" x14ac:dyDescent="0.35">
      <c r="A258" s="38">
        <v>257</v>
      </c>
      <c r="B258" s="39" t="s">
        <v>341</v>
      </c>
      <c r="C258" s="40" t="s">
        <v>202</v>
      </c>
      <c r="D258" s="40" t="s">
        <v>341</v>
      </c>
      <c r="E258" s="41" t="s">
        <v>1042</v>
      </c>
      <c r="F258" s="40" t="s">
        <v>1043</v>
      </c>
      <c r="G258" s="42">
        <v>2</v>
      </c>
      <c r="H258" s="39" t="s">
        <v>1263</v>
      </c>
    </row>
    <row r="259" spans="1:8" ht="49.95" customHeight="1" thickBot="1" x14ac:dyDescent="0.35">
      <c r="A259" s="38">
        <v>258</v>
      </c>
      <c r="B259" s="39" t="s">
        <v>357</v>
      </c>
      <c r="C259" s="40" t="s">
        <v>197</v>
      </c>
      <c r="D259" s="40" t="s">
        <v>389</v>
      </c>
      <c r="E259" s="41" t="s">
        <v>1042</v>
      </c>
      <c r="F259" s="40" t="s">
        <v>1043</v>
      </c>
      <c r="G259" s="42">
        <v>2</v>
      </c>
      <c r="H259" s="39" t="s">
        <v>1264</v>
      </c>
    </row>
    <row r="260" spans="1:8" ht="49.95" customHeight="1" thickBot="1" x14ac:dyDescent="0.35">
      <c r="A260" s="38">
        <v>259</v>
      </c>
      <c r="B260" s="39" t="s">
        <v>536</v>
      </c>
      <c r="C260" s="40" t="s">
        <v>434</v>
      </c>
      <c r="D260" s="40" t="s">
        <v>361</v>
      </c>
      <c r="E260" s="41" t="s">
        <v>1042</v>
      </c>
      <c r="F260" s="40" t="s">
        <v>1043</v>
      </c>
      <c r="G260" s="42">
        <v>4</v>
      </c>
      <c r="H260" s="39" t="s">
        <v>856</v>
      </c>
    </row>
    <row r="261" spans="1:8" ht="49.95" customHeight="1" thickBot="1" x14ac:dyDescent="0.35">
      <c r="A261" s="38">
        <v>260</v>
      </c>
      <c r="B261" s="39" t="s">
        <v>358</v>
      </c>
      <c r="C261" s="40" t="s">
        <v>198</v>
      </c>
      <c r="D261" s="40" t="s">
        <v>388</v>
      </c>
      <c r="E261" s="41" t="s">
        <v>1042</v>
      </c>
      <c r="F261" s="40" t="s">
        <v>1043</v>
      </c>
      <c r="G261" s="42">
        <v>2</v>
      </c>
      <c r="H261" s="39" t="s">
        <v>846</v>
      </c>
    </row>
    <row r="262" spans="1:8" ht="49.95" customHeight="1" thickBot="1" x14ac:dyDescent="0.35">
      <c r="A262" s="38">
        <v>261</v>
      </c>
      <c r="B262" s="39" t="s">
        <v>535</v>
      </c>
      <c r="C262" s="40" t="s">
        <v>201</v>
      </c>
      <c r="D262" s="40" t="s">
        <v>361</v>
      </c>
      <c r="E262" s="41" t="s">
        <v>1051</v>
      </c>
      <c r="F262" s="40" t="s">
        <v>1043</v>
      </c>
      <c r="G262" s="42">
        <v>2</v>
      </c>
      <c r="H262" s="39" t="s">
        <v>847</v>
      </c>
    </row>
    <row r="263" spans="1:8" ht="49.95" customHeight="1" thickBot="1" x14ac:dyDescent="0.35">
      <c r="A263" s="38">
        <v>262</v>
      </c>
      <c r="B263" s="39">
        <v>240434</v>
      </c>
      <c r="C263" s="40" t="s">
        <v>1265</v>
      </c>
      <c r="D263" s="40" t="s">
        <v>363</v>
      </c>
      <c r="E263" s="41" t="s">
        <v>1042</v>
      </c>
      <c r="F263" s="40" t="s">
        <v>1043</v>
      </c>
      <c r="G263" s="42">
        <v>3</v>
      </c>
      <c r="H263" s="39" t="s">
        <v>917</v>
      </c>
    </row>
    <row r="264" spans="1:8" ht="49.95" customHeight="1" thickBot="1" x14ac:dyDescent="0.35">
      <c r="A264" s="38">
        <v>263</v>
      </c>
      <c r="B264" s="39" t="s">
        <v>538</v>
      </c>
      <c r="C264" s="40" t="s">
        <v>1266</v>
      </c>
      <c r="D264" s="40" t="s">
        <v>361</v>
      </c>
      <c r="E264" s="41" t="s">
        <v>1045</v>
      </c>
      <c r="F264" s="40" t="s">
        <v>1043</v>
      </c>
      <c r="G264" s="42">
        <v>2</v>
      </c>
      <c r="H264" s="39" t="s">
        <v>859</v>
      </c>
    </row>
    <row r="265" spans="1:8" ht="49.95" customHeight="1" thickBot="1" x14ac:dyDescent="0.35">
      <c r="A265" s="38">
        <v>264</v>
      </c>
      <c r="B265" s="39" t="s">
        <v>341</v>
      </c>
      <c r="C265" s="40" t="s">
        <v>199</v>
      </c>
      <c r="D265" s="40" t="s">
        <v>341</v>
      </c>
      <c r="E265" s="41" t="s">
        <v>1042</v>
      </c>
      <c r="F265" s="40" t="s">
        <v>1043</v>
      </c>
      <c r="G265" s="42">
        <v>3</v>
      </c>
      <c r="H265" s="39" t="s">
        <v>832</v>
      </c>
    </row>
    <row r="266" spans="1:8" ht="49.95" customHeight="1" thickBot="1" x14ac:dyDescent="0.35">
      <c r="A266" s="38">
        <v>265</v>
      </c>
      <c r="B266" s="39">
        <v>240373</v>
      </c>
      <c r="C266" s="40" t="s">
        <v>1267</v>
      </c>
      <c r="D266" s="40" t="s">
        <v>364</v>
      </c>
      <c r="E266" s="41" t="s">
        <v>1042</v>
      </c>
      <c r="F266" s="40" t="s">
        <v>1043</v>
      </c>
      <c r="G266" s="42">
        <v>4</v>
      </c>
      <c r="H266" s="39" t="s">
        <v>890</v>
      </c>
    </row>
    <row r="267" spans="1:8" ht="49.95" customHeight="1" thickBot="1" x14ac:dyDescent="0.35">
      <c r="A267" s="38">
        <v>266</v>
      </c>
      <c r="B267" s="39" t="s">
        <v>341</v>
      </c>
      <c r="C267" s="40" t="s">
        <v>203</v>
      </c>
      <c r="D267" s="40" t="s">
        <v>341</v>
      </c>
      <c r="E267" s="41" t="s">
        <v>1042</v>
      </c>
      <c r="F267" s="40" t="s">
        <v>1043</v>
      </c>
      <c r="G267" s="42">
        <v>2</v>
      </c>
      <c r="H267" s="39" t="s">
        <v>1268</v>
      </c>
    </row>
    <row r="268" spans="1:8" ht="49.95" customHeight="1" thickBot="1" x14ac:dyDescent="0.35">
      <c r="A268" s="38">
        <v>267</v>
      </c>
      <c r="B268" s="39">
        <v>240193</v>
      </c>
      <c r="C268" s="40" t="s">
        <v>1269</v>
      </c>
      <c r="D268" s="40" t="s">
        <v>368</v>
      </c>
      <c r="E268" s="41" t="s">
        <v>1042</v>
      </c>
      <c r="F268" s="40" t="s">
        <v>1043</v>
      </c>
      <c r="G268" s="42">
        <v>2</v>
      </c>
      <c r="H268" s="39" t="s">
        <v>1270</v>
      </c>
    </row>
    <row r="269" spans="1:8" ht="49.95" customHeight="1" thickBot="1" x14ac:dyDescent="0.35">
      <c r="A269" s="38">
        <v>268</v>
      </c>
      <c r="B269" s="39">
        <v>240439</v>
      </c>
      <c r="C269" s="40" t="s">
        <v>1271</v>
      </c>
      <c r="D269" s="40" t="s">
        <v>364</v>
      </c>
      <c r="E269" s="41" t="s">
        <v>1042</v>
      </c>
      <c r="F269" s="40" t="s">
        <v>1043</v>
      </c>
      <c r="G269" s="42">
        <v>2</v>
      </c>
      <c r="H269" s="39" t="s">
        <v>1272</v>
      </c>
    </row>
    <row r="270" spans="1:8" ht="49.95" customHeight="1" thickBot="1" x14ac:dyDescent="0.35">
      <c r="A270" s="38">
        <v>269</v>
      </c>
      <c r="B270" s="40" t="s">
        <v>537</v>
      </c>
      <c r="C270" s="40" t="s">
        <v>1273</v>
      </c>
      <c r="D270" s="40" t="s">
        <v>388</v>
      </c>
      <c r="E270" s="41" t="s">
        <v>1042</v>
      </c>
      <c r="F270" s="40" t="s">
        <v>1043</v>
      </c>
      <c r="G270" s="43">
        <v>2</v>
      </c>
      <c r="H270" s="40" t="s">
        <v>1274</v>
      </c>
    </row>
    <row r="271" spans="1:8" ht="49.95" customHeight="1" thickBot="1" x14ac:dyDescent="0.35">
      <c r="A271" s="38">
        <v>270</v>
      </c>
      <c r="B271" s="39" t="s">
        <v>586</v>
      </c>
      <c r="C271" s="40" t="s">
        <v>519</v>
      </c>
      <c r="D271" s="40" t="s">
        <v>388</v>
      </c>
      <c r="E271" s="41" t="s">
        <v>1042</v>
      </c>
      <c r="F271" s="40" t="s">
        <v>1043</v>
      </c>
      <c r="G271" s="42">
        <v>4</v>
      </c>
      <c r="H271" s="39" t="s">
        <v>923</v>
      </c>
    </row>
    <row r="272" spans="1:8" ht="49.95" customHeight="1" thickBot="1" x14ac:dyDescent="0.35">
      <c r="A272" s="38">
        <v>271</v>
      </c>
      <c r="B272" s="39" t="s">
        <v>577</v>
      </c>
      <c r="C272" s="40" t="s">
        <v>507</v>
      </c>
      <c r="D272" s="40" t="s">
        <v>389</v>
      </c>
      <c r="E272" s="41" t="s">
        <v>1042</v>
      </c>
      <c r="F272" s="40" t="s">
        <v>1043</v>
      </c>
      <c r="G272" s="42">
        <v>4</v>
      </c>
      <c r="H272" s="39" t="s">
        <v>1275</v>
      </c>
    </row>
    <row r="273" spans="1:8" ht="49.95" customHeight="1" thickBot="1" x14ac:dyDescent="0.35">
      <c r="A273" s="38">
        <v>272</v>
      </c>
      <c r="B273" s="39" t="s">
        <v>341</v>
      </c>
      <c r="C273" s="40" t="s">
        <v>204</v>
      </c>
      <c r="D273" s="40" t="s">
        <v>341</v>
      </c>
      <c r="E273" s="41" t="s">
        <v>1042</v>
      </c>
      <c r="F273" s="40" t="s">
        <v>1043</v>
      </c>
      <c r="G273" s="42">
        <v>2</v>
      </c>
      <c r="H273" s="39" t="s">
        <v>1276</v>
      </c>
    </row>
    <row r="274" spans="1:8" ht="49.95" customHeight="1" thickBot="1" x14ac:dyDescent="0.35">
      <c r="A274" s="38">
        <v>273</v>
      </c>
      <c r="B274" s="39" t="s">
        <v>540</v>
      </c>
      <c r="C274" s="40" t="s">
        <v>441</v>
      </c>
      <c r="D274" s="40" t="s">
        <v>389</v>
      </c>
      <c r="E274" s="41" t="s">
        <v>1051</v>
      </c>
      <c r="F274" s="40" t="s">
        <v>1043</v>
      </c>
      <c r="G274" s="42">
        <v>4</v>
      </c>
      <c r="H274" s="39" t="s">
        <v>863</v>
      </c>
    </row>
    <row r="275" spans="1:8" ht="49.95" customHeight="1" thickBot="1" x14ac:dyDescent="0.35">
      <c r="A275" s="38">
        <v>274</v>
      </c>
      <c r="B275" s="39" t="s">
        <v>571</v>
      </c>
      <c r="C275" s="40" t="s">
        <v>1277</v>
      </c>
      <c r="D275" s="40" t="s">
        <v>388</v>
      </c>
      <c r="E275" s="41" t="s">
        <v>1042</v>
      </c>
      <c r="F275" s="40" t="s">
        <v>1043</v>
      </c>
      <c r="G275" s="42">
        <v>3</v>
      </c>
      <c r="H275" s="39" t="s">
        <v>1278</v>
      </c>
    </row>
    <row r="276" spans="1:8" ht="49.95" customHeight="1" thickBot="1" x14ac:dyDescent="0.35">
      <c r="A276" s="38">
        <v>275</v>
      </c>
      <c r="B276" s="39" t="s">
        <v>341</v>
      </c>
      <c r="C276" s="40" t="s">
        <v>205</v>
      </c>
      <c r="D276" s="40" t="s">
        <v>341</v>
      </c>
      <c r="E276" s="41" t="s">
        <v>1042</v>
      </c>
      <c r="F276" s="40" t="s">
        <v>1043</v>
      </c>
      <c r="G276" s="42">
        <v>2</v>
      </c>
      <c r="H276" s="39" t="s">
        <v>844</v>
      </c>
    </row>
    <row r="277" spans="1:8" ht="49.95" customHeight="1" thickBot="1" x14ac:dyDescent="0.35">
      <c r="A277" s="38">
        <v>276</v>
      </c>
      <c r="B277" s="39" t="s">
        <v>556</v>
      </c>
      <c r="C277" s="40" t="s">
        <v>1279</v>
      </c>
      <c r="D277" s="40" t="s">
        <v>389</v>
      </c>
      <c r="E277" s="41" t="s">
        <v>1042</v>
      </c>
      <c r="F277" s="40" t="s">
        <v>1043</v>
      </c>
      <c r="G277" s="43">
        <v>2</v>
      </c>
      <c r="H277" s="40" t="s">
        <v>1280</v>
      </c>
    </row>
    <row r="278" spans="1:8" ht="49.95" customHeight="1" thickBot="1" x14ac:dyDescent="0.35">
      <c r="A278" s="38">
        <v>277</v>
      </c>
      <c r="B278" s="39" t="s">
        <v>541</v>
      </c>
      <c r="C278" s="40" t="s">
        <v>443</v>
      </c>
      <c r="D278" s="40" t="s">
        <v>361</v>
      </c>
      <c r="E278" s="41" t="s">
        <v>1051</v>
      </c>
      <c r="F278" s="40" t="s">
        <v>1043</v>
      </c>
      <c r="G278" s="42">
        <v>3</v>
      </c>
      <c r="H278" s="39" t="s">
        <v>864</v>
      </c>
    </row>
    <row r="279" spans="1:8" ht="49.95" customHeight="1" thickBot="1" x14ac:dyDescent="0.35">
      <c r="A279" s="38">
        <v>278</v>
      </c>
      <c r="B279" s="39">
        <v>240244</v>
      </c>
      <c r="C279" s="40" t="s">
        <v>1281</v>
      </c>
      <c r="D279" s="40" t="s">
        <v>368</v>
      </c>
      <c r="E279" s="41" t="s">
        <v>1042</v>
      </c>
      <c r="F279" s="39" t="s">
        <v>1048</v>
      </c>
      <c r="G279" s="42">
        <v>2</v>
      </c>
      <c r="H279" s="39" t="s">
        <v>878</v>
      </c>
    </row>
    <row r="280" spans="1:8" ht="49.95" customHeight="1" thickBot="1" x14ac:dyDescent="0.35">
      <c r="A280" s="38">
        <v>279</v>
      </c>
      <c r="B280" s="39" t="s">
        <v>341</v>
      </c>
      <c r="C280" s="40" t="s">
        <v>206</v>
      </c>
      <c r="D280" s="40" t="s">
        <v>341</v>
      </c>
      <c r="E280" s="41" t="s">
        <v>1042</v>
      </c>
      <c r="F280" s="40" t="s">
        <v>1043</v>
      </c>
      <c r="G280" s="42">
        <v>2</v>
      </c>
      <c r="H280" s="39" t="s">
        <v>845</v>
      </c>
    </row>
    <row r="281" spans="1:8" ht="49.95" customHeight="1" thickBot="1" x14ac:dyDescent="0.35">
      <c r="A281" s="38">
        <v>280</v>
      </c>
      <c r="B281" s="39" t="s">
        <v>341</v>
      </c>
      <c r="C281" s="40" t="s">
        <v>1282</v>
      </c>
      <c r="D281" s="40" t="s">
        <v>341</v>
      </c>
      <c r="E281" s="41" t="s">
        <v>1042</v>
      </c>
      <c r="F281" s="40" t="s">
        <v>1043</v>
      </c>
      <c r="G281" s="42">
        <v>2</v>
      </c>
      <c r="H281" s="39" t="s">
        <v>1283</v>
      </c>
    </row>
    <row r="282" spans="1:8" ht="49.95" customHeight="1" thickBot="1" x14ac:dyDescent="0.35">
      <c r="A282" s="38">
        <v>281</v>
      </c>
      <c r="B282" s="39" t="s">
        <v>542</v>
      </c>
      <c r="C282" s="40" t="s">
        <v>446</v>
      </c>
      <c r="D282" s="40" t="s">
        <v>361</v>
      </c>
      <c r="E282" s="41" t="s">
        <v>1051</v>
      </c>
      <c r="F282" s="40" t="s">
        <v>1043</v>
      </c>
      <c r="G282" s="42">
        <v>3</v>
      </c>
      <c r="H282" s="39" t="s">
        <v>867</v>
      </c>
    </row>
    <row r="283" spans="1:8" ht="49.95" customHeight="1" thickBot="1" x14ac:dyDescent="0.35">
      <c r="A283" s="38">
        <v>282</v>
      </c>
      <c r="B283" s="39" t="s">
        <v>341</v>
      </c>
      <c r="C283" s="40" t="s">
        <v>433</v>
      </c>
      <c r="D283" s="40" t="s">
        <v>341</v>
      </c>
      <c r="E283" s="41" t="s">
        <v>1042</v>
      </c>
      <c r="F283" s="40" t="s">
        <v>1043</v>
      </c>
      <c r="G283" s="42">
        <v>2</v>
      </c>
      <c r="H283" s="39" t="s">
        <v>855</v>
      </c>
    </row>
    <row r="284" spans="1:8" ht="49.95" customHeight="1" thickBot="1" x14ac:dyDescent="0.35">
      <c r="A284" s="38">
        <v>283</v>
      </c>
      <c r="B284" s="39">
        <v>240432</v>
      </c>
      <c r="C284" s="40" t="s">
        <v>1284</v>
      </c>
      <c r="D284" s="40" t="s">
        <v>368</v>
      </c>
      <c r="E284" s="41" t="s">
        <v>1042</v>
      </c>
      <c r="F284" s="40" t="s">
        <v>1043</v>
      </c>
      <c r="G284" s="43">
        <v>3</v>
      </c>
      <c r="H284" s="40" t="s">
        <v>897</v>
      </c>
    </row>
    <row r="285" spans="1:8" ht="49.95" customHeight="1" thickBot="1" x14ac:dyDescent="0.35">
      <c r="A285" s="38">
        <v>284</v>
      </c>
      <c r="B285" s="39" t="s">
        <v>341</v>
      </c>
      <c r="C285" s="40" t="s">
        <v>438</v>
      </c>
      <c r="D285" s="40" t="s">
        <v>341</v>
      </c>
      <c r="E285" s="41" t="s">
        <v>1042</v>
      </c>
      <c r="F285" s="40" t="s">
        <v>1043</v>
      </c>
      <c r="G285" s="42">
        <v>2</v>
      </c>
      <c r="H285" s="39" t="s">
        <v>1285</v>
      </c>
    </row>
    <row r="286" spans="1:8" ht="49.95" customHeight="1" thickBot="1" x14ac:dyDescent="0.35">
      <c r="A286" s="38">
        <v>285</v>
      </c>
      <c r="B286" s="39">
        <v>240339</v>
      </c>
      <c r="C286" s="40" t="s">
        <v>472</v>
      </c>
      <c r="D286" s="40" t="s">
        <v>368</v>
      </c>
      <c r="E286" s="41" t="s">
        <v>1042</v>
      </c>
      <c r="F286" s="40" t="s">
        <v>1043</v>
      </c>
      <c r="G286" s="42">
        <v>2</v>
      </c>
      <c r="H286" s="39" t="s">
        <v>1286</v>
      </c>
    </row>
    <row r="287" spans="1:8" ht="49.95" customHeight="1" thickBot="1" x14ac:dyDescent="0.35">
      <c r="A287" s="38">
        <v>286</v>
      </c>
      <c r="B287" s="39" t="s">
        <v>988</v>
      </c>
      <c r="C287" s="40" t="s">
        <v>1287</v>
      </c>
      <c r="D287" s="40" t="s">
        <v>388</v>
      </c>
      <c r="E287" s="41" t="s">
        <v>1042</v>
      </c>
      <c r="F287" s="40" t="s">
        <v>1043</v>
      </c>
      <c r="G287" s="42">
        <v>4</v>
      </c>
      <c r="H287" s="39" t="s">
        <v>1288</v>
      </c>
    </row>
    <row r="288" spans="1:8" ht="49.95" customHeight="1" thickBot="1" x14ac:dyDescent="0.35">
      <c r="A288" s="38">
        <v>287</v>
      </c>
      <c r="B288" s="39" t="s">
        <v>341</v>
      </c>
      <c r="C288" s="40" t="s">
        <v>432</v>
      </c>
      <c r="D288" s="40" t="s">
        <v>341</v>
      </c>
      <c r="E288" s="41" t="s">
        <v>1042</v>
      </c>
      <c r="F288" s="40" t="s">
        <v>1043</v>
      </c>
      <c r="G288" s="42">
        <v>2</v>
      </c>
      <c r="H288" s="39" t="s">
        <v>854</v>
      </c>
    </row>
    <row r="289" spans="1:8" ht="49.95" customHeight="1" thickBot="1" x14ac:dyDescent="0.35">
      <c r="A289" s="38">
        <v>288</v>
      </c>
      <c r="B289" s="39" t="s">
        <v>548</v>
      </c>
      <c r="C289" s="40" t="s">
        <v>460</v>
      </c>
      <c r="D289" s="40" t="s">
        <v>389</v>
      </c>
      <c r="E289" s="41" t="s">
        <v>1042</v>
      </c>
      <c r="F289" s="40" t="s">
        <v>1043</v>
      </c>
      <c r="G289" s="42">
        <v>2</v>
      </c>
      <c r="H289" s="39" t="s">
        <v>881</v>
      </c>
    </row>
    <row r="290" spans="1:8" ht="49.95" customHeight="1" thickBot="1" x14ac:dyDescent="0.35">
      <c r="A290" s="38">
        <v>289</v>
      </c>
      <c r="B290" s="39" t="s">
        <v>592</v>
      </c>
      <c r="C290" s="40" t="s">
        <v>527</v>
      </c>
      <c r="D290" s="40" t="s">
        <v>389</v>
      </c>
      <c r="E290" s="41" t="s">
        <v>1042</v>
      </c>
      <c r="F290" s="40" t="s">
        <v>1043</v>
      </c>
      <c r="G290" s="42">
        <v>3</v>
      </c>
      <c r="H290" s="39" t="s">
        <v>1289</v>
      </c>
    </row>
    <row r="291" spans="1:8" ht="49.95" customHeight="1" thickBot="1" x14ac:dyDescent="0.35">
      <c r="A291" s="38">
        <v>290</v>
      </c>
      <c r="B291" s="39" t="s">
        <v>544</v>
      </c>
      <c r="C291" s="40" t="s">
        <v>451</v>
      </c>
      <c r="D291" s="40" t="s">
        <v>388</v>
      </c>
      <c r="E291" s="41" t="s">
        <v>1042</v>
      </c>
      <c r="F291" s="40" t="s">
        <v>1043</v>
      </c>
      <c r="G291" s="42">
        <v>3</v>
      </c>
      <c r="H291" s="39" t="s">
        <v>1290</v>
      </c>
    </row>
    <row r="292" spans="1:8" ht="49.95" customHeight="1" thickBot="1" x14ac:dyDescent="0.35">
      <c r="A292" s="38">
        <v>291</v>
      </c>
      <c r="B292" s="39">
        <v>240380</v>
      </c>
      <c r="C292" s="40" t="s">
        <v>487</v>
      </c>
      <c r="D292" s="40" t="s">
        <v>364</v>
      </c>
      <c r="E292" s="41" t="s">
        <v>1045</v>
      </c>
      <c r="F292" s="40" t="s">
        <v>1043</v>
      </c>
      <c r="G292" s="42">
        <v>2</v>
      </c>
      <c r="H292" s="39" t="s">
        <v>1291</v>
      </c>
    </row>
    <row r="293" spans="1:8" ht="49.95" customHeight="1" thickBot="1" x14ac:dyDescent="0.35">
      <c r="A293" s="38">
        <v>292</v>
      </c>
      <c r="B293" s="39" t="s">
        <v>543</v>
      </c>
      <c r="C293" s="40" t="s">
        <v>447</v>
      </c>
      <c r="D293" s="40" t="s">
        <v>389</v>
      </c>
      <c r="E293" s="41" t="s">
        <v>1042</v>
      </c>
      <c r="F293" s="40" t="s">
        <v>1043</v>
      </c>
      <c r="G293" s="42">
        <v>2</v>
      </c>
      <c r="H293" s="39" t="s">
        <v>1292</v>
      </c>
    </row>
    <row r="294" spans="1:8" ht="49.95" customHeight="1" thickBot="1" x14ac:dyDescent="0.35">
      <c r="A294" s="38">
        <v>293</v>
      </c>
      <c r="B294" s="39" t="s">
        <v>551</v>
      </c>
      <c r="C294" s="40" t="s">
        <v>1293</v>
      </c>
      <c r="D294" s="40" t="s">
        <v>388</v>
      </c>
      <c r="E294" s="41" t="s">
        <v>1042</v>
      </c>
      <c r="F294" s="40" t="s">
        <v>1043</v>
      </c>
      <c r="G294" s="42">
        <v>4</v>
      </c>
      <c r="H294" s="39" t="s">
        <v>1294</v>
      </c>
    </row>
    <row r="295" spans="1:8" ht="49.95" customHeight="1" thickBot="1" x14ac:dyDescent="0.35">
      <c r="A295" s="38">
        <v>294</v>
      </c>
      <c r="B295" s="39">
        <v>240429</v>
      </c>
      <c r="C295" s="40" t="s">
        <v>1295</v>
      </c>
      <c r="D295" s="40" t="s">
        <v>368</v>
      </c>
      <c r="E295" s="41" t="s">
        <v>1042</v>
      </c>
      <c r="F295" s="40" t="s">
        <v>1043</v>
      </c>
      <c r="G295" s="42">
        <v>2</v>
      </c>
      <c r="H295" s="39" t="s">
        <v>1296</v>
      </c>
    </row>
    <row r="296" spans="1:8" ht="49.95" customHeight="1" thickBot="1" x14ac:dyDescent="0.35">
      <c r="A296" s="38">
        <v>295</v>
      </c>
      <c r="B296" s="39">
        <v>240853</v>
      </c>
      <c r="C296" s="40" t="s">
        <v>1297</v>
      </c>
      <c r="D296" s="40" t="s">
        <v>364</v>
      </c>
      <c r="E296" s="41" t="s">
        <v>1042</v>
      </c>
      <c r="F296" s="40" t="s">
        <v>1043</v>
      </c>
      <c r="G296" s="42">
        <v>4</v>
      </c>
      <c r="H296" s="39" t="s">
        <v>1298</v>
      </c>
    </row>
    <row r="297" spans="1:8" ht="49.95" customHeight="1" thickBot="1" x14ac:dyDescent="0.35">
      <c r="A297" s="38">
        <v>296</v>
      </c>
      <c r="B297" s="39">
        <v>240538</v>
      </c>
      <c r="C297" s="40" t="s">
        <v>1299</v>
      </c>
      <c r="D297" s="40" t="s">
        <v>368</v>
      </c>
      <c r="E297" s="41" t="s">
        <v>1045</v>
      </c>
      <c r="F297" s="40" t="s">
        <v>1043</v>
      </c>
      <c r="G297" s="42">
        <v>3</v>
      </c>
      <c r="H297" s="39" t="s">
        <v>1300</v>
      </c>
    </row>
    <row r="298" spans="1:8" ht="49.95" customHeight="1" thickBot="1" x14ac:dyDescent="0.35">
      <c r="A298" s="38">
        <v>297</v>
      </c>
      <c r="B298" s="39" t="s">
        <v>1301</v>
      </c>
      <c r="C298" s="40" t="s">
        <v>1302</v>
      </c>
      <c r="D298" s="40" t="s">
        <v>383</v>
      </c>
      <c r="E298" s="41" t="s">
        <v>1042</v>
      </c>
      <c r="F298" s="40" t="s">
        <v>1043</v>
      </c>
      <c r="G298" s="42">
        <v>3</v>
      </c>
      <c r="H298" s="39" t="s">
        <v>1303</v>
      </c>
    </row>
    <row r="299" spans="1:8" ht="49.95" customHeight="1" thickBot="1" x14ac:dyDescent="0.35">
      <c r="A299" s="38">
        <v>298</v>
      </c>
      <c r="B299" s="39" t="s">
        <v>1304</v>
      </c>
      <c r="C299" s="40" t="s">
        <v>1305</v>
      </c>
      <c r="D299" s="40" t="s">
        <v>389</v>
      </c>
      <c r="E299" s="41" t="s">
        <v>1042</v>
      </c>
      <c r="F299" s="40" t="s">
        <v>1043</v>
      </c>
      <c r="G299" s="42">
        <v>3</v>
      </c>
      <c r="H299" s="39" t="s">
        <v>1306</v>
      </c>
    </row>
    <row r="300" spans="1:8" ht="49.95" customHeight="1" thickBot="1" x14ac:dyDescent="0.35">
      <c r="A300" s="38">
        <v>299</v>
      </c>
      <c r="B300" s="39">
        <v>240476</v>
      </c>
      <c r="C300" s="40" t="s">
        <v>1307</v>
      </c>
      <c r="D300" s="40" t="s">
        <v>368</v>
      </c>
      <c r="E300" s="41" t="s">
        <v>1042</v>
      </c>
      <c r="F300" s="40" t="s">
        <v>1043</v>
      </c>
      <c r="G300" s="42">
        <v>3</v>
      </c>
      <c r="H300" s="39" t="s">
        <v>1308</v>
      </c>
    </row>
    <row r="301" spans="1:8" ht="49.95" customHeight="1" thickBot="1" x14ac:dyDescent="0.35">
      <c r="A301" s="38">
        <v>300</v>
      </c>
      <c r="B301" s="39" t="s">
        <v>1157</v>
      </c>
      <c r="C301" s="40" t="s">
        <v>1309</v>
      </c>
      <c r="D301" s="40" t="s">
        <v>368</v>
      </c>
      <c r="E301" s="41" t="s">
        <v>1042</v>
      </c>
      <c r="F301" s="40" t="s">
        <v>1043</v>
      </c>
      <c r="G301" s="42">
        <v>2</v>
      </c>
      <c r="H301" s="39" t="s">
        <v>1310</v>
      </c>
    </row>
    <row r="302" spans="1:8" ht="49.95" customHeight="1" thickBot="1" x14ac:dyDescent="0.35">
      <c r="A302" s="38">
        <v>301</v>
      </c>
      <c r="B302" s="39" t="s">
        <v>554</v>
      </c>
      <c r="C302" s="40" t="s">
        <v>1311</v>
      </c>
      <c r="D302" s="40" t="s">
        <v>361</v>
      </c>
      <c r="E302" s="41" t="s">
        <v>1042</v>
      </c>
      <c r="F302" s="40" t="s">
        <v>1043</v>
      </c>
      <c r="G302" s="42">
        <v>2</v>
      </c>
      <c r="H302" s="39" t="s">
        <v>1312</v>
      </c>
    </row>
    <row r="303" spans="1:8" ht="49.95" customHeight="1" thickBot="1" x14ac:dyDescent="0.35">
      <c r="A303" s="38">
        <v>302</v>
      </c>
      <c r="B303" s="39">
        <v>250194</v>
      </c>
      <c r="C303" s="40" t="s">
        <v>1208</v>
      </c>
      <c r="D303" s="40" t="s">
        <v>368</v>
      </c>
      <c r="E303" s="41" t="s">
        <v>1042</v>
      </c>
      <c r="F303" s="40" t="s">
        <v>1043</v>
      </c>
      <c r="G303" s="42">
        <v>3</v>
      </c>
      <c r="H303" s="39" t="s">
        <v>1313</v>
      </c>
    </row>
    <row r="304" spans="1:8" ht="49.95" customHeight="1" thickBot="1" x14ac:dyDescent="0.35">
      <c r="A304" s="38">
        <v>303</v>
      </c>
      <c r="B304" s="39" t="s">
        <v>1157</v>
      </c>
      <c r="C304" s="40" t="s">
        <v>1314</v>
      </c>
      <c r="D304" s="40" t="s">
        <v>389</v>
      </c>
      <c r="E304" s="41" t="s">
        <v>1042</v>
      </c>
      <c r="F304" s="40" t="s">
        <v>1043</v>
      </c>
      <c r="G304" s="42">
        <v>3</v>
      </c>
      <c r="H304" s="39" t="s">
        <v>1315</v>
      </c>
    </row>
    <row r="305" spans="1:8" ht="49.95" customHeight="1" thickBot="1" x14ac:dyDescent="0.35">
      <c r="A305" s="38">
        <v>304</v>
      </c>
      <c r="B305" s="39">
        <v>240475</v>
      </c>
      <c r="C305" s="40" t="s">
        <v>474</v>
      </c>
      <c r="D305" s="40" t="s">
        <v>368</v>
      </c>
      <c r="E305" s="41" t="s">
        <v>1042</v>
      </c>
      <c r="F305" s="40" t="s">
        <v>1048</v>
      </c>
      <c r="G305" s="42">
        <v>2</v>
      </c>
      <c r="H305" s="39" t="s">
        <v>1316</v>
      </c>
    </row>
    <row r="306" spans="1:8" ht="49.95" customHeight="1" thickBot="1" x14ac:dyDescent="0.35">
      <c r="A306" s="38">
        <v>305</v>
      </c>
      <c r="B306" s="39">
        <v>240528</v>
      </c>
      <c r="C306" s="40" t="s">
        <v>1317</v>
      </c>
      <c r="D306" s="40" t="s">
        <v>368</v>
      </c>
      <c r="E306" s="41" t="s">
        <v>1042</v>
      </c>
      <c r="F306" s="40" t="s">
        <v>1043</v>
      </c>
      <c r="G306" s="42">
        <v>2</v>
      </c>
      <c r="H306" s="39" t="s">
        <v>1318</v>
      </c>
    </row>
    <row r="307" spans="1:8" ht="49.95" customHeight="1" thickBot="1" x14ac:dyDescent="0.35">
      <c r="A307" s="38">
        <v>306</v>
      </c>
      <c r="B307" s="39">
        <v>240477</v>
      </c>
      <c r="C307" s="40" t="s">
        <v>478</v>
      </c>
      <c r="D307" s="40" t="s">
        <v>368</v>
      </c>
      <c r="E307" s="41" t="s">
        <v>1042</v>
      </c>
      <c r="F307" s="40" t="s">
        <v>1043</v>
      </c>
      <c r="G307" s="42">
        <v>2</v>
      </c>
      <c r="H307" s="39" t="s">
        <v>1319</v>
      </c>
    </row>
    <row r="308" spans="1:8" ht="49.95" customHeight="1" thickBot="1" x14ac:dyDescent="0.35">
      <c r="A308" s="38">
        <v>307</v>
      </c>
      <c r="B308" s="39">
        <v>240515</v>
      </c>
      <c r="C308" s="40" t="s">
        <v>1320</v>
      </c>
      <c r="D308" s="40" t="s">
        <v>368</v>
      </c>
      <c r="E308" s="41" t="s">
        <v>1042</v>
      </c>
      <c r="F308" s="40" t="s">
        <v>1043</v>
      </c>
      <c r="G308" s="42">
        <v>2</v>
      </c>
      <c r="H308" s="39" t="s">
        <v>1321</v>
      </c>
    </row>
    <row r="309" spans="1:8" ht="49.95" customHeight="1" thickBot="1" x14ac:dyDescent="0.35">
      <c r="A309" s="38">
        <v>308</v>
      </c>
      <c r="B309" s="39" t="s">
        <v>1322</v>
      </c>
      <c r="C309" s="40" t="s">
        <v>1323</v>
      </c>
      <c r="D309" s="40" t="s">
        <v>361</v>
      </c>
      <c r="E309" s="41" t="s">
        <v>1051</v>
      </c>
      <c r="F309" s="40" t="s">
        <v>1043</v>
      </c>
      <c r="G309" s="42">
        <v>2</v>
      </c>
      <c r="H309" s="39" t="s">
        <v>1324</v>
      </c>
    </row>
    <row r="310" spans="1:8" ht="49.95" customHeight="1" thickBot="1" x14ac:dyDescent="0.35">
      <c r="A310" s="38">
        <v>309</v>
      </c>
      <c r="B310" s="39" t="s">
        <v>341</v>
      </c>
      <c r="C310" s="40" t="s">
        <v>1325</v>
      </c>
      <c r="D310" s="40" t="s">
        <v>341</v>
      </c>
      <c r="E310" s="41" t="s">
        <v>1042</v>
      </c>
      <c r="F310" s="40" t="s">
        <v>1043</v>
      </c>
      <c r="G310" s="42">
        <v>2</v>
      </c>
      <c r="H310" s="39" t="s">
        <v>1326</v>
      </c>
    </row>
    <row r="311" spans="1:8" ht="49.95" customHeight="1" thickBot="1" x14ac:dyDescent="0.35">
      <c r="A311" s="38">
        <v>310</v>
      </c>
      <c r="B311" s="39" t="s">
        <v>547</v>
      </c>
      <c r="C311" s="40" t="s">
        <v>1327</v>
      </c>
      <c r="D311" s="40" t="s">
        <v>388</v>
      </c>
      <c r="E311" s="41" t="s">
        <v>1045</v>
      </c>
      <c r="F311" s="40" t="s">
        <v>1048</v>
      </c>
      <c r="G311" s="42">
        <v>3</v>
      </c>
      <c r="H311" s="39" t="s">
        <v>1328</v>
      </c>
    </row>
    <row r="312" spans="1:8" ht="49.95" customHeight="1" thickBot="1" x14ac:dyDescent="0.35">
      <c r="A312" s="38">
        <v>311</v>
      </c>
      <c r="B312" s="39">
        <v>250238</v>
      </c>
      <c r="C312" s="40" t="s">
        <v>1329</v>
      </c>
      <c r="D312" s="40" t="s">
        <v>368</v>
      </c>
      <c r="E312" s="41" t="s">
        <v>1042</v>
      </c>
      <c r="F312" s="40" t="s">
        <v>1043</v>
      </c>
      <c r="G312" s="42">
        <v>3</v>
      </c>
      <c r="H312" s="39" t="s">
        <v>1330</v>
      </c>
    </row>
    <row r="313" spans="1:8" ht="49.95" customHeight="1" thickBot="1" x14ac:dyDescent="0.35">
      <c r="A313" s="38">
        <v>312</v>
      </c>
      <c r="B313" s="39" t="s">
        <v>549</v>
      </c>
      <c r="C313" s="40" t="s">
        <v>462</v>
      </c>
      <c r="D313" s="40" t="s">
        <v>388</v>
      </c>
      <c r="E313" s="41" t="s">
        <v>1045</v>
      </c>
      <c r="F313" s="40" t="s">
        <v>1048</v>
      </c>
      <c r="G313" s="42">
        <v>2</v>
      </c>
      <c r="H313" s="39" t="s">
        <v>1331</v>
      </c>
    </row>
    <row r="314" spans="1:8" ht="49.95" customHeight="1" thickBot="1" x14ac:dyDescent="0.35">
      <c r="A314" s="38">
        <v>313</v>
      </c>
      <c r="B314" s="39">
        <v>240539</v>
      </c>
      <c r="C314" s="40" t="s">
        <v>504</v>
      </c>
      <c r="D314" s="40" t="s">
        <v>368</v>
      </c>
      <c r="E314" s="41" t="s">
        <v>1051</v>
      </c>
      <c r="F314" s="40" t="s">
        <v>1043</v>
      </c>
      <c r="G314" s="42">
        <v>3</v>
      </c>
      <c r="H314" s="39" t="s">
        <v>1332</v>
      </c>
    </row>
    <row r="315" spans="1:8" ht="49.95" customHeight="1" thickBot="1" x14ac:dyDescent="0.35">
      <c r="A315" s="38">
        <v>314</v>
      </c>
      <c r="B315" s="39">
        <v>240760</v>
      </c>
      <c r="C315" s="40" t="s">
        <v>1333</v>
      </c>
      <c r="D315" s="40" t="s">
        <v>368</v>
      </c>
      <c r="E315" s="41" t="s">
        <v>1042</v>
      </c>
      <c r="F315" s="40" t="s">
        <v>1043</v>
      </c>
      <c r="G315" s="42">
        <v>3</v>
      </c>
      <c r="H315" s="39" t="s">
        <v>1334</v>
      </c>
    </row>
    <row r="316" spans="1:8" ht="49.95" customHeight="1" thickBot="1" x14ac:dyDescent="0.35">
      <c r="A316" s="38">
        <v>315</v>
      </c>
      <c r="B316" s="39">
        <v>240526</v>
      </c>
      <c r="C316" s="40" t="s">
        <v>488</v>
      </c>
      <c r="D316" s="40" t="s">
        <v>368</v>
      </c>
      <c r="E316" s="41" t="s">
        <v>1042</v>
      </c>
      <c r="F316" s="40" t="s">
        <v>1043</v>
      </c>
      <c r="G316" s="42">
        <v>2</v>
      </c>
      <c r="H316" s="39" t="s">
        <v>1335</v>
      </c>
    </row>
    <row r="317" spans="1:8" ht="49.95" customHeight="1" thickBot="1" x14ac:dyDescent="0.35">
      <c r="A317" s="38">
        <v>316</v>
      </c>
      <c r="B317" s="39">
        <v>240737</v>
      </c>
      <c r="C317" s="40" t="s">
        <v>524</v>
      </c>
      <c r="D317" s="40" t="s">
        <v>364</v>
      </c>
      <c r="E317" s="41" t="s">
        <v>1042</v>
      </c>
      <c r="F317" s="40" t="s">
        <v>1043</v>
      </c>
      <c r="G317" s="42">
        <v>4</v>
      </c>
      <c r="H317" s="39" t="s">
        <v>1336</v>
      </c>
    </row>
    <row r="318" spans="1:8" ht="49.95" customHeight="1" thickBot="1" x14ac:dyDescent="0.35">
      <c r="A318" s="38">
        <v>317</v>
      </c>
      <c r="B318" s="39" t="s">
        <v>553</v>
      </c>
      <c r="C318" s="40" t="s">
        <v>466</v>
      </c>
      <c r="D318" s="40" t="s">
        <v>389</v>
      </c>
      <c r="E318" s="41" t="s">
        <v>1042</v>
      </c>
      <c r="F318" s="40" t="s">
        <v>1043</v>
      </c>
      <c r="G318" s="42">
        <v>3</v>
      </c>
      <c r="H318" s="39" t="s">
        <v>1337</v>
      </c>
    </row>
    <row r="319" spans="1:8" ht="49.95" customHeight="1" thickBot="1" x14ac:dyDescent="0.35">
      <c r="A319" s="38">
        <v>318</v>
      </c>
      <c r="B319" s="39" t="s">
        <v>545</v>
      </c>
      <c r="C319" s="40" t="s">
        <v>1338</v>
      </c>
      <c r="D319" s="40" t="s">
        <v>388</v>
      </c>
      <c r="E319" s="41" t="s">
        <v>1042</v>
      </c>
      <c r="F319" s="40" t="s">
        <v>1048</v>
      </c>
      <c r="G319" s="42">
        <v>2</v>
      </c>
      <c r="H319" s="39" t="s">
        <v>1339</v>
      </c>
    </row>
    <row r="320" spans="1:8" ht="49.95" customHeight="1" thickBot="1" x14ac:dyDescent="0.35">
      <c r="A320" s="38">
        <v>319</v>
      </c>
      <c r="B320" s="39" t="s">
        <v>558</v>
      </c>
      <c r="C320" s="40" t="s">
        <v>479</v>
      </c>
      <c r="D320" s="40" t="s">
        <v>389</v>
      </c>
      <c r="E320" s="41" t="s">
        <v>1042</v>
      </c>
      <c r="F320" s="40" t="s">
        <v>1043</v>
      </c>
      <c r="G320" s="42">
        <v>3</v>
      </c>
      <c r="H320" s="39" t="s">
        <v>1340</v>
      </c>
    </row>
    <row r="321" spans="1:8" ht="49.95" customHeight="1" thickBot="1" x14ac:dyDescent="0.35">
      <c r="A321" s="38">
        <v>320</v>
      </c>
      <c r="B321" s="39" t="s">
        <v>552</v>
      </c>
      <c r="C321" s="40" t="s">
        <v>465</v>
      </c>
      <c r="D321" s="40" t="s">
        <v>388</v>
      </c>
      <c r="E321" s="41" t="s">
        <v>1042</v>
      </c>
      <c r="F321" s="40" t="s">
        <v>1043</v>
      </c>
      <c r="G321" s="42">
        <v>2</v>
      </c>
      <c r="H321" s="39" t="s">
        <v>885</v>
      </c>
    </row>
    <row r="322" spans="1:8" ht="49.95" customHeight="1" thickBot="1" x14ac:dyDescent="0.35">
      <c r="A322" s="38">
        <v>321</v>
      </c>
      <c r="B322" s="39">
        <v>240607</v>
      </c>
      <c r="C322" s="40" t="s">
        <v>1341</v>
      </c>
      <c r="D322" s="40" t="s">
        <v>368</v>
      </c>
      <c r="E322" s="41" t="s">
        <v>1042</v>
      </c>
      <c r="F322" s="40" t="s">
        <v>1043</v>
      </c>
      <c r="G322" s="42">
        <v>2</v>
      </c>
      <c r="H322" s="39" t="s">
        <v>1342</v>
      </c>
    </row>
    <row r="323" spans="1:8" ht="49.95" customHeight="1" thickBot="1" x14ac:dyDescent="0.35">
      <c r="A323" s="38">
        <v>322</v>
      </c>
      <c r="B323" s="39">
        <v>240636</v>
      </c>
      <c r="C323" s="40" t="s">
        <v>1343</v>
      </c>
      <c r="D323" s="40" t="s">
        <v>368</v>
      </c>
      <c r="E323" s="41" t="s">
        <v>1042</v>
      </c>
      <c r="F323" s="40" t="s">
        <v>1043</v>
      </c>
      <c r="G323" s="42">
        <v>2</v>
      </c>
      <c r="H323" s="39" t="s">
        <v>1344</v>
      </c>
    </row>
    <row r="324" spans="1:8" ht="49.95" customHeight="1" thickBot="1" x14ac:dyDescent="0.35">
      <c r="A324" s="38">
        <v>323</v>
      </c>
      <c r="B324" s="39" t="s">
        <v>341</v>
      </c>
      <c r="C324" s="40" t="s">
        <v>461</v>
      </c>
      <c r="D324" s="40" t="s">
        <v>341</v>
      </c>
      <c r="E324" s="41" t="s">
        <v>1042</v>
      </c>
      <c r="F324" s="40" t="s">
        <v>1043</v>
      </c>
      <c r="G324" s="42">
        <v>2</v>
      </c>
      <c r="H324" s="39" t="s">
        <v>1345</v>
      </c>
    </row>
    <row r="325" spans="1:8" ht="49.95" customHeight="1" thickBot="1" x14ac:dyDescent="0.35">
      <c r="A325" s="38">
        <v>324</v>
      </c>
      <c r="B325" s="40" t="s">
        <v>1247</v>
      </c>
      <c r="C325" s="40" t="s">
        <v>1346</v>
      </c>
      <c r="D325" s="40" t="s">
        <v>389</v>
      </c>
      <c r="E325" s="41" t="s">
        <v>1042</v>
      </c>
      <c r="F325" s="40" t="s">
        <v>1043</v>
      </c>
      <c r="G325" s="42">
        <v>3</v>
      </c>
      <c r="H325" s="39" t="s">
        <v>1347</v>
      </c>
    </row>
    <row r="326" spans="1:8" ht="49.95" customHeight="1" thickBot="1" x14ac:dyDescent="0.35">
      <c r="A326" s="38">
        <v>325</v>
      </c>
      <c r="B326" s="39" t="s">
        <v>1247</v>
      </c>
      <c r="C326" s="40" t="s">
        <v>1348</v>
      </c>
      <c r="D326" s="40" t="s">
        <v>388</v>
      </c>
      <c r="E326" s="41" t="s">
        <v>1042</v>
      </c>
      <c r="F326" s="40" t="s">
        <v>1043</v>
      </c>
      <c r="G326" s="42">
        <v>4</v>
      </c>
      <c r="H326" s="39" t="s">
        <v>1349</v>
      </c>
    </row>
    <row r="327" spans="1:8" ht="49.95" customHeight="1" thickBot="1" x14ac:dyDescent="0.35">
      <c r="A327" s="38">
        <v>326</v>
      </c>
      <c r="B327" s="40" t="s">
        <v>341</v>
      </c>
      <c r="C327" s="40" t="s">
        <v>456</v>
      </c>
      <c r="D327" s="40" t="s">
        <v>341</v>
      </c>
      <c r="E327" s="41" t="s">
        <v>1042</v>
      </c>
      <c r="F327" s="40" t="s">
        <v>1043</v>
      </c>
      <c r="G327" s="42">
        <v>2</v>
      </c>
      <c r="H327" s="39" t="s">
        <v>1350</v>
      </c>
    </row>
    <row r="328" spans="1:8" ht="49.95" customHeight="1" thickBot="1" x14ac:dyDescent="0.35">
      <c r="A328" s="38">
        <v>327</v>
      </c>
      <c r="B328" s="39" t="s">
        <v>563</v>
      </c>
      <c r="C328" s="40" t="s">
        <v>486</v>
      </c>
      <c r="D328" s="40" t="s">
        <v>388</v>
      </c>
      <c r="E328" s="41" t="s">
        <v>1042</v>
      </c>
      <c r="F328" s="40" t="s">
        <v>1043</v>
      </c>
      <c r="G328" s="42">
        <v>3</v>
      </c>
      <c r="H328" s="39" t="s">
        <v>1351</v>
      </c>
    </row>
    <row r="329" spans="1:8" ht="49.95" customHeight="1" thickBot="1" x14ac:dyDescent="0.35">
      <c r="A329" s="51">
        <v>328</v>
      </c>
      <c r="B329" s="40" t="s">
        <v>1352</v>
      </c>
      <c r="C329" s="40" t="s">
        <v>1353</v>
      </c>
      <c r="D329" s="40" t="s">
        <v>388</v>
      </c>
      <c r="E329" s="41" t="s">
        <v>1042</v>
      </c>
      <c r="F329" s="40" t="s">
        <v>1043</v>
      </c>
      <c r="G329" s="43">
        <v>3</v>
      </c>
      <c r="H329" s="40" t="s">
        <v>1354</v>
      </c>
    </row>
    <row r="330" spans="1:8" ht="49.95" customHeight="1" thickBot="1" x14ac:dyDescent="0.35">
      <c r="A330" s="38">
        <v>329</v>
      </c>
      <c r="B330" s="40" t="s">
        <v>1355</v>
      </c>
      <c r="C330" s="40" t="s">
        <v>1356</v>
      </c>
      <c r="D330" s="40" t="s">
        <v>364</v>
      </c>
      <c r="E330" s="41" t="s">
        <v>1042</v>
      </c>
      <c r="F330" s="40" t="s">
        <v>1043</v>
      </c>
      <c r="G330" s="42">
        <v>3</v>
      </c>
      <c r="H330" s="39" t="s">
        <v>1357</v>
      </c>
    </row>
    <row r="331" spans="1:8" ht="49.95" customHeight="1" thickBot="1" x14ac:dyDescent="0.35">
      <c r="A331" s="38">
        <v>330</v>
      </c>
      <c r="B331" s="39" t="s">
        <v>579</v>
      </c>
      <c r="C331" s="40" t="s">
        <v>510</v>
      </c>
      <c r="D331" s="40" t="s">
        <v>388</v>
      </c>
      <c r="E331" s="41" t="s">
        <v>1042</v>
      </c>
      <c r="F331" s="40" t="s">
        <v>1043</v>
      </c>
      <c r="G331" s="42">
        <v>3</v>
      </c>
      <c r="H331" s="39" t="s">
        <v>1358</v>
      </c>
    </row>
    <row r="332" spans="1:8" ht="49.95" customHeight="1" thickBot="1" x14ac:dyDescent="0.35">
      <c r="A332" s="38">
        <v>331</v>
      </c>
      <c r="B332" s="39" t="s">
        <v>557</v>
      </c>
      <c r="C332" s="40" t="s">
        <v>1359</v>
      </c>
      <c r="D332" s="40" t="s">
        <v>389</v>
      </c>
      <c r="E332" s="41" t="s">
        <v>1042</v>
      </c>
      <c r="F332" s="40" t="s">
        <v>1043</v>
      </c>
      <c r="G332" s="42">
        <v>2</v>
      </c>
      <c r="H332" s="39" t="s">
        <v>1360</v>
      </c>
    </row>
    <row r="333" spans="1:8" ht="49.95" customHeight="1" thickBot="1" x14ac:dyDescent="0.35">
      <c r="A333" s="38">
        <v>332</v>
      </c>
      <c r="B333" s="39" t="s">
        <v>1361</v>
      </c>
      <c r="C333" s="40" t="s">
        <v>1236</v>
      </c>
      <c r="D333" s="40" t="s">
        <v>389</v>
      </c>
      <c r="E333" s="41" t="s">
        <v>1045</v>
      </c>
      <c r="F333" s="40" t="s">
        <v>1043</v>
      </c>
      <c r="G333" s="42">
        <v>3</v>
      </c>
      <c r="H333" s="39" t="s">
        <v>658</v>
      </c>
    </row>
    <row r="334" spans="1:8" ht="49.95" customHeight="1" thickBot="1" x14ac:dyDescent="0.35">
      <c r="A334" s="38">
        <v>333</v>
      </c>
      <c r="B334" s="39" t="s">
        <v>1362</v>
      </c>
      <c r="C334" s="40" t="s">
        <v>1236</v>
      </c>
      <c r="D334" s="40" t="s">
        <v>389</v>
      </c>
      <c r="E334" s="41" t="s">
        <v>1045</v>
      </c>
      <c r="F334" s="40" t="s">
        <v>1043</v>
      </c>
      <c r="G334" s="42">
        <v>3</v>
      </c>
      <c r="H334" s="39" t="s">
        <v>658</v>
      </c>
    </row>
    <row r="335" spans="1:8" ht="49.95" customHeight="1" thickBot="1" x14ac:dyDescent="0.35">
      <c r="A335" s="38">
        <v>334</v>
      </c>
      <c r="B335" s="39" t="s">
        <v>569</v>
      </c>
      <c r="C335" s="40" t="s">
        <v>494</v>
      </c>
      <c r="D335" s="40" t="s">
        <v>388</v>
      </c>
      <c r="E335" s="41" t="s">
        <v>1042</v>
      </c>
      <c r="F335" s="40" t="s">
        <v>1043</v>
      </c>
      <c r="G335" s="42">
        <v>2</v>
      </c>
      <c r="H335" s="39" t="s">
        <v>1363</v>
      </c>
    </row>
    <row r="336" spans="1:8" ht="49.95" customHeight="1" thickBot="1" x14ac:dyDescent="0.35">
      <c r="A336" s="38">
        <v>335</v>
      </c>
      <c r="B336" s="40" t="s">
        <v>1247</v>
      </c>
      <c r="C336" s="40" t="s">
        <v>1364</v>
      </c>
      <c r="D336" s="40" t="s">
        <v>388</v>
      </c>
      <c r="E336" s="41" t="s">
        <v>1042</v>
      </c>
      <c r="F336" s="40" t="s">
        <v>1043</v>
      </c>
      <c r="G336" s="42">
        <v>4</v>
      </c>
      <c r="H336" s="39" t="s">
        <v>1365</v>
      </c>
    </row>
    <row r="337" spans="1:8" ht="49.95" customHeight="1" thickBot="1" x14ac:dyDescent="0.35">
      <c r="A337" s="38">
        <v>336</v>
      </c>
      <c r="B337" s="40" t="s">
        <v>1028</v>
      </c>
      <c r="C337" s="40" t="s">
        <v>1366</v>
      </c>
      <c r="D337" s="40" t="s">
        <v>388</v>
      </c>
      <c r="E337" s="41" t="s">
        <v>1042</v>
      </c>
      <c r="F337" s="40" t="s">
        <v>1043</v>
      </c>
      <c r="G337" s="42">
        <v>3</v>
      </c>
      <c r="H337" s="39" t="s">
        <v>1367</v>
      </c>
    </row>
    <row r="338" spans="1:8" ht="49.95" customHeight="1" thickBot="1" x14ac:dyDescent="0.35">
      <c r="A338" s="38">
        <v>337</v>
      </c>
      <c r="B338" s="39" t="s">
        <v>1368</v>
      </c>
      <c r="C338" s="40" t="s">
        <v>489</v>
      </c>
      <c r="D338" s="40" t="s">
        <v>388</v>
      </c>
      <c r="E338" s="41" t="s">
        <v>1042</v>
      </c>
      <c r="F338" s="40" t="s">
        <v>1043</v>
      </c>
      <c r="G338" s="42">
        <v>2</v>
      </c>
      <c r="H338" s="39" t="s">
        <v>1369</v>
      </c>
    </row>
    <row r="339" spans="1:8" ht="49.95" customHeight="1" thickBot="1" x14ac:dyDescent="0.35">
      <c r="A339" s="38">
        <v>338</v>
      </c>
      <c r="B339" s="39" t="s">
        <v>560</v>
      </c>
      <c r="C339" s="40" t="s">
        <v>1370</v>
      </c>
      <c r="D339" s="40" t="s">
        <v>388</v>
      </c>
      <c r="E339" s="41" t="s">
        <v>1042</v>
      </c>
      <c r="F339" s="40" t="s">
        <v>1043</v>
      </c>
      <c r="G339" s="42">
        <v>2</v>
      </c>
      <c r="H339" s="39" t="s">
        <v>1371</v>
      </c>
    </row>
    <row r="340" spans="1:8" ht="49.95" customHeight="1" thickBot="1" x14ac:dyDescent="0.35">
      <c r="A340" s="38">
        <v>339</v>
      </c>
      <c r="B340" s="39">
        <v>250239</v>
      </c>
      <c r="C340" s="40" t="s">
        <v>1372</v>
      </c>
      <c r="D340" s="40" t="s">
        <v>364</v>
      </c>
      <c r="E340" s="41" t="s">
        <v>1042</v>
      </c>
      <c r="F340" s="40" t="s">
        <v>1043</v>
      </c>
      <c r="G340" s="42">
        <v>3</v>
      </c>
      <c r="H340" s="39" t="s">
        <v>1373</v>
      </c>
    </row>
    <row r="341" spans="1:8" ht="49.95" customHeight="1" thickBot="1" x14ac:dyDescent="0.35">
      <c r="A341" s="38">
        <v>340</v>
      </c>
      <c r="B341" s="39" t="s">
        <v>570</v>
      </c>
      <c r="C341" s="40" t="s">
        <v>497</v>
      </c>
      <c r="D341" s="40" t="s">
        <v>388</v>
      </c>
      <c r="E341" s="41" t="s">
        <v>1042</v>
      </c>
      <c r="F341" s="40" t="s">
        <v>1043</v>
      </c>
      <c r="G341" s="42">
        <v>4</v>
      </c>
      <c r="H341" s="39" t="s">
        <v>1374</v>
      </c>
    </row>
    <row r="342" spans="1:8" ht="49.95" customHeight="1" thickBot="1" x14ac:dyDescent="0.35">
      <c r="A342" s="38">
        <v>341</v>
      </c>
      <c r="B342" s="39" t="s">
        <v>588</v>
      </c>
      <c r="C342" s="40" t="s">
        <v>522</v>
      </c>
      <c r="D342" s="40" t="s">
        <v>361</v>
      </c>
      <c r="E342" s="41" t="s">
        <v>1051</v>
      </c>
      <c r="F342" s="40" t="s">
        <v>1043</v>
      </c>
      <c r="G342" s="42">
        <v>3</v>
      </c>
      <c r="H342" s="39" t="s">
        <v>1375</v>
      </c>
    </row>
    <row r="343" spans="1:8" ht="49.95" customHeight="1" thickBot="1" x14ac:dyDescent="0.35">
      <c r="A343" s="38">
        <v>342</v>
      </c>
      <c r="B343" s="39">
        <v>240735</v>
      </c>
      <c r="C343" s="40" t="s">
        <v>1376</v>
      </c>
      <c r="D343" s="40" t="s">
        <v>364</v>
      </c>
      <c r="E343" s="41" t="s">
        <v>1045</v>
      </c>
      <c r="F343" s="40" t="s">
        <v>1043</v>
      </c>
      <c r="G343" s="42">
        <v>4</v>
      </c>
      <c r="H343" s="39" t="s">
        <v>1377</v>
      </c>
    </row>
    <row r="344" spans="1:8" ht="49.95" customHeight="1" thickBot="1" x14ac:dyDescent="0.35">
      <c r="A344" s="38">
        <v>343</v>
      </c>
      <c r="B344" s="39" t="s">
        <v>565</v>
      </c>
      <c r="C344" s="40" t="s">
        <v>490</v>
      </c>
      <c r="D344" s="40" t="s">
        <v>388</v>
      </c>
      <c r="E344" s="41" t="s">
        <v>1042</v>
      </c>
      <c r="F344" s="40" t="s">
        <v>1043</v>
      </c>
      <c r="G344" s="42">
        <v>4</v>
      </c>
      <c r="H344" s="39" t="s">
        <v>904</v>
      </c>
    </row>
    <row r="345" spans="1:8" ht="49.95" customHeight="1" thickBot="1" x14ac:dyDescent="0.35">
      <c r="A345" s="38">
        <v>344</v>
      </c>
      <c r="B345" s="39" t="s">
        <v>1378</v>
      </c>
      <c r="C345" s="40" t="s">
        <v>1379</v>
      </c>
      <c r="D345" s="40" t="s">
        <v>367</v>
      </c>
      <c r="E345" s="41" t="s">
        <v>1042</v>
      </c>
      <c r="F345" s="40" t="s">
        <v>1043</v>
      </c>
      <c r="G345" s="42">
        <v>3</v>
      </c>
      <c r="H345" s="39" t="s">
        <v>1380</v>
      </c>
    </row>
    <row r="346" spans="1:8" ht="49.95" customHeight="1" thickBot="1" x14ac:dyDescent="0.35">
      <c r="A346" s="38">
        <v>345</v>
      </c>
      <c r="B346" s="41" t="s">
        <v>1247</v>
      </c>
      <c r="C346" s="40" t="s">
        <v>1381</v>
      </c>
      <c r="D346" s="40" t="s">
        <v>383</v>
      </c>
      <c r="E346" s="41" t="s">
        <v>1042</v>
      </c>
      <c r="F346" s="40" t="s">
        <v>1043</v>
      </c>
      <c r="G346" s="42">
        <v>3</v>
      </c>
      <c r="H346" s="39" t="s">
        <v>1382</v>
      </c>
    </row>
    <row r="347" spans="1:8" ht="49.95" customHeight="1" thickBot="1" x14ac:dyDescent="0.35">
      <c r="A347" s="38">
        <v>346</v>
      </c>
      <c r="B347" s="39" t="s">
        <v>1022</v>
      </c>
      <c r="C347" s="40" t="s">
        <v>1383</v>
      </c>
      <c r="D347" s="40" t="s">
        <v>389</v>
      </c>
      <c r="E347" s="41" t="s">
        <v>1042</v>
      </c>
      <c r="F347" s="40" t="s">
        <v>1043</v>
      </c>
      <c r="G347" s="42">
        <v>4</v>
      </c>
      <c r="H347" s="39" t="s">
        <v>1384</v>
      </c>
    </row>
    <row r="348" spans="1:8" ht="49.95" customHeight="1" thickBot="1" x14ac:dyDescent="0.35">
      <c r="A348" s="38">
        <v>347</v>
      </c>
      <c r="B348" s="39" t="s">
        <v>567</v>
      </c>
      <c r="C348" s="40" t="s">
        <v>1385</v>
      </c>
      <c r="D348" s="40" t="s">
        <v>389</v>
      </c>
      <c r="E348" s="41" t="s">
        <v>1042</v>
      </c>
      <c r="F348" s="40" t="s">
        <v>1043</v>
      </c>
      <c r="G348" s="42">
        <v>2</v>
      </c>
      <c r="H348" s="39" t="s">
        <v>1386</v>
      </c>
    </row>
    <row r="349" spans="1:8" ht="49.95" customHeight="1" thickBot="1" x14ac:dyDescent="0.35">
      <c r="A349" s="38">
        <v>348</v>
      </c>
      <c r="B349" s="39">
        <v>250130</v>
      </c>
      <c r="C349" s="40" t="s">
        <v>1387</v>
      </c>
      <c r="D349" s="40" t="s">
        <v>368</v>
      </c>
      <c r="E349" s="41" t="s">
        <v>1042</v>
      </c>
      <c r="F349" s="40" t="s">
        <v>1043</v>
      </c>
      <c r="G349" s="43">
        <v>3</v>
      </c>
      <c r="H349" s="40" t="s">
        <v>1388</v>
      </c>
    </row>
    <row r="350" spans="1:8" ht="49.95" customHeight="1" thickBot="1" x14ac:dyDescent="0.35">
      <c r="A350" s="38">
        <v>349</v>
      </c>
      <c r="B350" s="39" t="s">
        <v>585</v>
      </c>
      <c r="C350" s="40" t="s">
        <v>518</v>
      </c>
      <c r="D350" s="40" t="s">
        <v>388</v>
      </c>
      <c r="E350" s="41" t="s">
        <v>1042</v>
      </c>
      <c r="F350" s="40" t="s">
        <v>1043</v>
      </c>
      <c r="G350" s="42">
        <v>2</v>
      </c>
      <c r="H350" s="39" t="s">
        <v>1389</v>
      </c>
    </row>
    <row r="351" spans="1:8" ht="49.95" customHeight="1" thickBot="1" x14ac:dyDescent="0.35">
      <c r="A351" s="38">
        <v>350</v>
      </c>
      <c r="B351" s="40" t="s">
        <v>341</v>
      </c>
      <c r="C351" s="40" t="s">
        <v>1390</v>
      </c>
      <c r="D351" s="40" t="s">
        <v>341</v>
      </c>
      <c r="E351" s="41" t="s">
        <v>1042</v>
      </c>
      <c r="F351" s="40" t="s">
        <v>1043</v>
      </c>
      <c r="G351" s="42">
        <v>2</v>
      </c>
      <c r="H351" s="39" t="s">
        <v>1391</v>
      </c>
    </row>
    <row r="352" spans="1:8" ht="49.95" customHeight="1" thickBot="1" x14ac:dyDescent="0.35">
      <c r="A352" s="38">
        <v>351</v>
      </c>
      <c r="B352" s="41" t="s">
        <v>1247</v>
      </c>
      <c r="C352" s="40" t="s">
        <v>1392</v>
      </c>
      <c r="D352" s="40" t="s">
        <v>383</v>
      </c>
      <c r="E352" s="41" t="s">
        <v>1042</v>
      </c>
      <c r="F352" s="40" t="s">
        <v>1043</v>
      </c>
      <c r="G352" s="42">
        <v>3</v>
      </c>
      <c r="H352" s="39" t="s">
        <v>1393</v>
      </c>
    </row>
    <row r="353" spans="1:8" ht="49.95" customHeight="1" thickBot="1" x14ac:dyDescent="0.35">
      <c r="A353" s="38">
        <v>352</v>
      </c>
      <c r="B353" s="39" t="s">
        <v>1394</v>
      </c>
      <c r="C353" s="40" t="s">
        <v>1395</v>
      </c>
      <c r="D353" s="40" t="s">
        <v>388</v>
      </c>
      <c r="E353" s="41" t="s">
        <v>1045</v>
      </c>
      <c r="F353" s="40" t="s">
        <v>1043</v>
      </c>
      <c r="G353" s="42">
        <v>3</v>
      </c>
      <c r="H353" s="39" t="s">
        <v>1396</v>
      </c>
    </row>
    <row r="354" spans="1:8" ht="49.95" customHeight="1" thickBot="1" x14ac:dyDescent="0.35">
      <c r="A354" s="38">
        <v>353</v>
      </c>
      <c r="B354" s="39" t="s">
        <v>1397</v>
      </c>
      <c r="C354" s="40" t="s">
        <v>1398</v>
      </c>
      <c r="D354" s="40" t="s">
        <v>361</v>
      </c>
      <c r="E354" s="41" t="s">
        <v>1042</v>
      </c>
      <c r="F354" s="40" t="s">
        <v>1043</v>
      </c>
      <c r="G354" s="43">
        <v>2</v>
      </c>
      <c r="H354" s="40" t="s">
        <v>1399</v>
      </c>
    </row>
    <row r="355" spans="1:8" ht="49.95" customHeight="1" thickBot="1" x14ac:dyDescent="0.35">
      <c r="A355" s="38">
        <v>354</v>
      </c>
      <c r="B355" s="39" t="s">
        <v>572</v>
      </c>
      <c r="C355" s="40" t="s">
        <v>499</v>
      </c>
      <c r="D355" s="40" t="s">
        <v>388</v>
      </c>
      <c r="E355" s="41" t="s">
        <v>1042</v>
      </c>
      <c r="F355" s="40" t="s">
        <v>1043</v>
      </c>
      <c r="G355" s="42">
        <v>2</v>
      </c>
      <c r="H355" s="39" t="s">
        <v>1400</v>
      </c>
    </row>
    <row r="356" spans="1:8" ht="49.95" customHeight="1" thickBot="1" x14ac:dyDescent="0.35">
      <c r="A356" s="38">
        <v>355</v>
      </c>
      <c r="B356" s="39">
        <v>250240</v>
      </c>
      <c r="C356" s="40" t="s">
        <v>1401</v>
      </c>
      <c r="D356" s="40" t="s">
        <v>368</v>
      </c>
      <c r="E356" s="41" t="s">
        <v>1042</v>
      </c>
      <c r="F356" s="40" t="s">
        <v>1043</v>
      </c>
      <c r="G356" s="43">
        <v>3</v>
      </c>
      <c r="H356" s="40" t="s">
        <v>1402</v>
      </c>
    </row>
    <row r="357" spans="1:8" ht="49.95" customHeight="1" thickBot="1" x14ac:dyDescent="0.35">
      <c r="A357" s="38">
        <v>356</v>
      </c>
      <c r="B357" s="39">
        <v>250241</v>
      </c>
      <c r="C357" s="40" t="s">
        <v>1403</v>
      </c>
      <c r="D357" s="40" t="s">
        <v>368</v>
      </c>
      <c r="E357" s="41" t="s">
        <v>1042</v>
      </c>
      <c r="F357" s="40" t="s">
        <v>1043</v>
      </c>
      <c r="G357" s="43">
        <v>3</v>
      </c>
      <c r="H357" s="40" t="s">
        <v>1402</v>
      </c>
    </row>
    <row r="358" spans="1:8" ht="49.95" customHeight="1" thickBot="1" x14ac:dyDescent="0.35">
      <c r="A358" s="38">
        <v>357</v>
      </c>
      <c r="B358" s="39">
        <v>250242</v>
      </c>
      <c r="C358" s="40" t="s">
        <v>1404</v>
      </c>
      <c r="D358" s="40" t="s">
        <v>368</v>
      </c>
      <c r="E358" s="41" t="s">
        <v>1042</v>
      </c>
      <c r="F358" s="40" t="s">
        <v>1043</v>
      </c>
      <c r="G358" s="43">
        <v>3</v>
      </c>
      <c r="H358" s="40" t="s">
        <v>1402</v>
      </c>
    </row>
    <row r="359" spans="1:8" ht="49.95" customHeight="1" thickBot="1" x14ac:dyDescent="0.35">
      <c r="A359" s="38">
        <v>358</v>
      </c>
      <c r="B359" s="39">
        <v>250243</v>
      </c>
      <c r="C359" s="40" t="s">
        <v>1405</v>
      </c>
      <c r="D359" s="40" t="s">
        <v>368</v>
      </c>
      <c r="E359" s="41" t="s">
        <v>1042</v>
      </c>
      <c r="F359" s="40" t="s">
        <v>1043</v>
      </c>
      <c r="G359" s="43">
        <v>3</v>
      </c>
      <c r="H359" s="40" t="s">
        <v>1402</v>
      </c>
    </row>
    <row r="360" spans="1:8" ht="49.95" customHeight="1" thickBot="1" x14ac:dyDescent="0.35">
      <c r="A360" s="38">
        <v>359</v>
      </c>
      <c r="B360" s="39" t="s">
        <v>1406</v>
      </c>
      <c r="C360" s="40" t="s">
        <v>1407</v>
      </c>
      <c r="D360" s="40" t="s">
        <v>1408</v>
      </c>
      <c r="E360" s="41" t="s">
        <v>1042</v>
      </c>
      <c r="F360" s="40" t="s">
        <v>1043</v>
      </c>
      <c r="G360" s="43">
        <v>2</v>
      </c>
      <c r="H360" s="40" t="s">
        <v>1409</v>
      </c>
    </row>
    <row r="361" spans="1:8" ht="49.95" customHeight="1" thickBot="1" x14ac:dyDescent="0.35">
      <c r="A361" s="38">
        <v>360</v>
      </c>
      <c r="B361" s="39" t="s">
        <v>561</v>
      </c>
      <c r="C361" s="40" t="s">
        <v>484</v>
      </c>
      <c r="D361" s="40" t="s">
        <v>388</v>
      </c>
      <c r="E361" s="41" t="s">
        <v>1042</v>
      </c>
      <c r="F361" s="40" t="s">
        <v>1043</v>
      </c>
      <c r="G361" s="42">
        <v>2</v>
      </c>
      <c r="H361" s="39" t="s">
        <v>1410</v>
      </c>
    </row>
    <row r="362" spans="1:8" ht="49.95" customHeight="1" thickBot="1" x14ac:dyDescent="0.35">
      <c r="A362" s="38">
        <v>361</v>
      </c>
      <c r="B362" s="39" t="s">
        <v>1411</v>
      </c>
      <c r="C362" s="40" t="s">
        <v>1412</v>
      </c>
      <c r="D362" s="40" t="s">
        <v>389</v>
      </c>
      <c r="E362" s="41" t="s">
        <v>1042</v>
      </c>
      <c r="F362" s="40" t="s">
        <v>1043</v>
      </c>
      <c r="G362" s="42">
        <v>3</v>
      </c>
      <c r="H362" s="39" t="s">
        <v>1413</v>
      </c>
    </row>
    <row r="363" spans="1:8" ht="49.95" customHeight="1" thickBot="1" x14ac:dyDescent="0.35">
      <c r="A363" s="38">
        <v>362</v>
      </c>
      <c r="B363" s="40" t="s">
        <v>1414</v>
      </c>
      <c r="C363" s="40" t="s">
        <v>1415</v>
      </c>
      <c r="D363" s="40" t="s">
        <v>341</v>
      </c>
      <c r="E363" s="41" t="s">
        <v>1042</v>
      </c>
      <c r="F363" s="40" t="s">
        <v>1043</v>
      </c>
      <c r="G363" s="42">
        <v>2</v>
      </c>
      <c r="H363" s="39" t="s">
        <v>1416</v>
      </c>
    </row>
    <row r="364" spans="1:8" ht="49.95" customHeight="1" thickBot="1" x14ac:dyDescent="0.35">
      <c r="A364" s="38">
        <v>363</v>
      </c>
      <c r="B364" s="39" t="s">
        <v>562</v>
      </c>
      <c r="C364" s="40" t="s">
        <v>1417</v>
      </c>
      <c r="D364" s="40" t="s">
        <v>388</v>
      </c>
      <c r="E364" s="41" t="s">
        <v>1042</v>
      </c>
      <c r="F364" s="40" t="s">
        <v>1043</v>
      </c>
      <c r="G364" s="42">
        <v>2</v>
      </c>
      <c r="H364" s="39" t="s">
        <v>1339</v>
      </c>
    </row>
    <row r="365" spans="1:8" ht="49.95" customHeight="1" thickBot="1" x14ac:dyDescent="0.35">
      <c r="A365" s="38">
        <v>364</v>
      </c>
      <c r="B365" s="39" t="s">
        <v>574</v>
      </c>
      <c r="C365" s="40" t="s">
        <v>501</v>
      </c>
      <c r="D365" s="40" t="s">
        <v>388</v>
      </c>
      <c r="E365" s="41" t="s">
        <v>1042</v>
      </c>
      <c r="F365" s="40" t="s">
        <v>1043</v>
      </c>
      <c r="G365" s="42">
        <v>2</v>
      </c>
      <c r="H365" s="39" t="s">
        <v>1418</v>
      </c>
    </row>
    <row r="366" spans="1:8" ht="49.95" customHeight="1" thickBot="1" x14ac:dyDescent="0.35">
      <c r="A366" s="38">
        <v>365</v>
      </c>
      <c r="B366" s="39" t="s">
        <v>571</v>
      </c>
      <c r="C366" s="40" t="s">
        <v>498</v>
      </c>
      <c r="D366" s="40" t="s">
        <v>388</v>
      </c>
      <c r="E366" s="41" t="s">
        <v>1042</v>
      </c>
      <c r="F366" s="40" t="s">
        <v>1043</v>
      </c>
      <c r="G366" s="42">
        <v>2</v>
      </c>
      <c r="H366" s="39" t="s">
        <v>1419</v>
      </c>
    </row>
    <row r="367" spans="1:8" ht="49.95" customHeight="1" thickBot="1" x14ac:dyDescent="0.35">
      <c r="A367" s="38">
        <v>366</v>
      </c>
      <c r="B367" s="39">
        <v>250176</v>
      </c>
      <c r="C367" s="40" t="s">
        <v>1420</v>
      </c>
      <c r="D367" s="40" t="s">
        <v>368</v>
      </c>
      <c r="E367" s="41" t="s">
        <v>1042</v>
      </c>
      <c r="F367" s="40" t="s">
        <v>1043</v>
      </c>
      <c r="G367" s="42">
        <v>3</v>
      </c>
      <c r="H367" s="39" t="s">
        <v>1421</v>
      </c>
    </row>
    <row r="368" spans="1:8" ht="49.95" customHeight="1" thickBot="1" x14ac:dyDescent="0.35">
      <c r="A368" s="38">
        <v>367</v>
      </c>
      <c r="B368" s="40" t="s">
        <v>573</v>
      </c>
      <c r="C368" s="40" t="s">
        <v>500</v>
      </c>
      <c r="D368" s="40" t="s">
        <v>341</v>
      </c>
      <c r="E368" s="41" t="s">
        <v>1042</v>
      </c>
      <c r="F368" s="40" t="s">
        <v>1043</v>
      </c>
      <c r="G368" s="43">
        <v>2</v>
      </c>
      <c r="H368" s="40" t="s">
        <v>1422</v>
      </c>
    </row>
    <row r="369" spans="1:8" ht="49.95" customHeight="1" thickBot="1" x14ac:dyDescent="0.35">
      <c r="A369" s="38">
        <v>368</v>
      </c>
      <c r="B369" s="40">
        <v>250195</v>
      </c>
      <c r="C369" s="40" t="s">
        <v>1423</v>
      </c>
      <c r="D369" s="40" t="s">
        <v>368</v>
      </c>
      <c r="E369" s="41" t="s">
        <v>1042</v>
      </c>
      <c r="F369" s="40" t="s">
        <v>1043</v>
      </c>
      <c r="G369" s="42">
        <v>2</v>
      </c>
      <c r="H369" s="39" t="s">
        <v>1424</v>
      </c>
    </row>
    <row r="370" spans="1:8" ht="49.95" customHeight="1" thickBot="1" x14ac:dyDescent="0.35">
      <c r="A370" s="38">
        <v>369</v>
      </c>
      <c r="B370" s="40">
        <v>250023</v>
      </c>
      <c r="C370" s="40" t="s">
        <v>1425</v>
      </c>
      <c r="D370" s="40" t="s">
        <v>364</v>
      </c>
      <c r="E370" s="41" t="s">
        <v>1042</v>
      </c>
      <c r="F370" s="40" t="s">
        <v>1043</v>
      </c>
      <c r="G370" s="42">
        <v>4</v>
      </c>
      <c r="H370" s="39" t="s">
        <v>1426</v>
      </c>
    </row>
    <row r="371" spans="1:8" ht="49.95" customHeight="1" thickBot="1" x14ac:dyDescent="0.35">
      <c r="A371" s="38">
        <v>370</v>
      </c>
      <c r="B371" s="40" t="s">
        <v>580</v>
      </c>
      <c r="C371" s="40" t="s">
        <v>511</v>
      </c>
      <c r="D371" s="40" t="s">
        <v>389</v>
      </c>
      <c r="E371" s="41" t="s">
        <v>1042</v>
      </c>
      <c r="F371" s="40" t="s">
        <v>1043</v>
      </c>
      <c r="G371" s="42">
        <v>2</v>
      </c>
      <c r="H371" s="39" t="s">
        <v>1427</v>
      </c>
    </row>
    <row r="372" spans="1:8" ht="49.95" customHeight="1" thickBot="1" x14ac:dyDescent="0.35">
      <c r="A372" s="38">
        <v>371</v>
      </c>
      <c r="B372" s="40" t="s">
        <v>1428</v>
      </c>
      <c r="C372" s="40" t="s">
        <v>1429</v>
      </c>
      <c r="D372" s="40" t="s">
        <v>364</v>
      </c>
      <c r="E372" s="41" t="s">
        <v>1042</v>
      </c>
      <c r="F372" s="40" t="s">
        <v>1043</v>
      </c>
      <c r="G372" s="42">
        <v>3</v>
      </c>
      <c r="H372" s="39" t="s">
        <v>1430</v>
      </c>
    </row>
    <row r="373" spans="1:8" ht="49.95" customHeight="1" thickBot="1" x14ac:dyDescent="0.35">
      <c r="A373" s="38">
        <v>372</v>
      </c>
      <c r="B373" s="40" t="s">
        <v>578</v>
      </c>
      <c r="C373" s="40" t="s">
        <v>508</v>
      </c>
      <c r="D373" s="40" t="s">
        <v>388</v>
      </c>
      <c r="E373" s="41" t="s">
        <v>1042</v>
      </c>
      <c r="F373" s="40" t="s">
        <v>1043</v>
      </c>
      <c r="G373" s="42">
        <v>2</v>
      </c>
      <c r="H373" s="39" t="s">
        <v>1431</v>
      </c>
    </row>
    <row r="374" spans="1:8" ht="49.95" customHeight="1" thickBot="1" x14ac:dyDescent="0.35">
      <c r="A374" s="38">
        <v>373</v>
      </c>
      <c r="B374" s="39" t="s">
        <v>1432</v>
      </c>
      <c r="C374" s="40" t="s">
        <v>1433</v>
      </c>
      <c r="D374" s="40" t="s">
        <v>341</v>
      </c>
      <c r="E374" s="41" t="s">
        <v>1042</v>
      </c>
      <c r="F374" s="40" t="s">
        <v>1043</v>
      </c>
      <c r="G374" s="42">
        <v>2</v>
      </c>
      <c r="H374" s="39" t="s">
        <v>1434</v>
      </c>
    </row>
    <row r="375" spans="1:8" ht="49.95" customHeight="1" thickBot="1" x14ac:dyDescent="0.35">
      <c r="A375" s="38">
        <v>374</v>
      </c>
      <c r="B375" s="40" t="s">
        <v>581</v>
      </c>
      <c r="C375" s="40" t="s">
        <v>513</v>
      </c>
      <c r="D375" s="40" t="s">
        <v>388</v>
      </c>
      <c r="E375" s="41" t="s">
        <v>1042</v>
      </c>
      <c r="F375" s="40" t="s">
        <v>1043</v>
      </c>
      <c r="G375" s="42">
        <v>3</v>
      </c>
      <c r="H375" s="39" t="s">
        <v>1435</v>
      </c>
    </row>
    <row r="376" spans="1:8" ht="49.95" customHeight="1" thickBot="1" x14ac:dyDescent="0.35">
      <c r="A376" s="38">
        <v>375</v>
      </c>
      <c r="B376" s="40" t="s">
        <v>1436</v>
      </c>
      <c r="C376" s="40" t="s">
        <v>1437</v>
      </c>
      <c r="D376" s="40" t="s">
        <v>1438</v>
      </c>
      <c r="E376" s="41" t="s">
        <v>1042</v>
      </c>
      <c r="F376" s="40" t="s">
        <v>1043</v>
      </c>
      <c r="G376" s="42">
        <v>3</v>
      </c>
      <c r="H376" s="39" t="s">
        <v>1439</v>
      </c>
    </row>
    <row r="377" spans="1:8" ht="49.95" customHeight="1" thickBot="1" x14ac:dyDescent="0.35">
      <c r="A377" s="38">
        <v>376</v>
      </c>
      <c r="B377" s="40">
        <v>250256</v>
      </c>
      <c r="C377" s="40" t="s">
        <v>1440</v>
      </c>
      <c r="D377" s="40" t="s">
        <v>364</v>
      </c>
      <c r="E377" s="41" t="s">
        <v>1042</v>
      </c>
      <c r="F377" s="40" t="s">
        <v>1043</v>
      </c>
      <c r="G377" s="42">
        <v>4</v>
      </c>
      <c r="H377" s="39" t="s">
        <v>1441</v>
      </c>
    </row>
    <row r="378" spans="1:8" ht="49.95" customHeight="1" thickBot="1" x14ac:dyDescent="0.35">
      <c r="A378" s="38">
        <v>377</v>
      </c>
      <c r="B378" s="40" t="s">
        <v>566</v>
      </c>
      <c r="C378" s="40" t="s">
        <v>1442</v>
      </c>
      <c r="D378" s="40" t="s">
        <v>341</v>
      </c>
      <c r="E378" s="41" t="s">
        <v>1042</v>
      </c>
      <c r="F378" s="40" t="s">
        <v>1043</v>
      </c>
      <c r="G378" s="42">
        <v>2</v>
      </c>
      <c r="H378" s="39" t="s">
        <v>1443</v>
      </c>
    </row>
    <row r="379" spans="1:8" ht="49.95" customHeight="1" thickBot="1" x14ac:dyDescent="0.35">
      <c r="A379" s="38">
        <v>378</v>
      </c>
      <c r="B379" s="41" t="s">
        <v>1157</v>
      </c>
      <c r="C379" s="40" t="s">
        <v>1444</v>
      </c>
      <c r="D379" s="40" t="s">
        <v>364</v>
      </c>
      <c r="E379" s="41" t="s">
        <v>1042</v>
      </c>
      <c r="F379" s="40" t="s">
        <v>1043</v>
      </c>
      <c r="G379" s="42">
        <v>5</v>
      </c>
      <c r="H379" s="39" t="s">
        <v>1445</v>
      </c>
    </row>
    <row r="380" spans="1:8" ht="49.95" customHeight="1" thickBot="1" x14ac:dyDescent="0.35">
      <c r="A380" s="38">
        <v>379</v>
      </c>
      <c r="B380" s="40" t="s">
        <v>341</v>
      </c>
      <c r="C380" s="40" t="s">
        <v>503</v>
      </c>
      <c r="D380" s="40" t="s">
        <v>341</v>
      </c>
      <c r="E380" s="41" t="s">
        <v>1042</v>
      </c>
      <c r="F380" s="40" t="s">
        <v>1043</v>
      </c>
      <c r="G380" s="42">
        <v>2</v>
      </c>
      <c r="H380" s="39" t="s">
        <v>1446</v>
      </c>
    </row>
    <row r="381" spans="1:8" ht="49.95" customHeight="1" thickBot="1" x14ac:dyDescent="0.35">
      <c r="A381" s="38">
        <v>380</v>
      </c>
      <c r="B381" s="40" t="s">
        <v>973</v>
      </c>
      <c r="C381" s="44" t="s">
        <v>1447</v>
      </c>
      <c r="D381" s="40" t="s">
        <v>388</v>
      </c>
      <c r="E381" s="41" t="s">
        <v>1042</v>
      </c>
      <c r="F381" s="40" t="s">
        <v>1043</v>
      </c>
      <c r="G381" s="42">
        <v>3</v>
      </c>
      <c r="H381" s="39" t="s">
        <v>1448</v>
      </c>
    </row>
    <row r="382" spans="1:8" ht="49.95" customHeight="1" thickBot="1" x14ac:dyDescent="0.35">
      <c r="A382" s="38">
        <v>381</v>
      </c>
      <c r="B382" s="41" t="s">
        <v>1157</v>
      </c>
      <c r="C382" s="40" t="s">
        <v>1449</v>
      </c>
      <c r="D382" s="40" t="s">
        <v>389</v>
      </c>
      <c r="E382" s="41" t="s">
        <v>1042</v>
      </c>
      <c r="F382" s="40" t="s">
        <v>1043</v>
      </c>
      <c r="G382" s="42">
        <v>3</v>
      </c>
      <c r="H382" s="39" t="s">
        <v>1450</v>
      </c>
    </row>
    <row r="383" spans="1:8" ht="49.95" customHeight="1" thickBot="1" x14ac:dyDescent="0.35">
      <c r="A383" s="38">
        <v>382</v>
      </c>
      <c r="B383" s="40" t="s">
        <v>1451</v>
      </c>
      <c r="C383" s="40" t="s">
        <v>1452</v>
      </c>
      <c r="D383" s="40" t="s">
        <v>368</v>
      </c>
      <c r="E383" s="41" t="s">
        <v>1042</v>
      </c>
      <c r="F383" s="40" t="s">
        <v>1043</v>
      </c>
      <c r="G383" s="42">
        <v>3</v>
      </c>
      <c r="H383" s="39" t="s">
        <v>1453</v>
      </c>
    </row>
    <row r="384" spans="1:8" ht="49.95" customHeight="1" thickBot="1" x14ac:dyDescent="0.35">
      <c r="A384" s="38">
        <v>383</v>
      </c>
      <c r="B384" s="40" t="s">
        <v>1454</v>
      </c>
      <c r="C384" s="40" t="s">
        <v>1455</v>
      </c>
      <c r="D384" s="40" t="s">
        <v>389</v>
      </c>
      <c r="E384" s="41" t="s">
        <v>1042</v>
      </c>
      <c r="F384" s="40" t="s">
        <v>1043</v>
      </c>
      <c r="G384" s="42">
        <v>2</v>
      </c>
      <c r="H384" s="39" t="s">
        <v>1456</v>
      </c>
    </row>
    <row r="385" spans="1:8" ht="49.95" customHeight="1" thickBot="1" x14ac:dyDescent="0.35">
      <c r="A385" s="38">
        <v>384</v>
      </c>
      <c r="B385" s="40" t="s">
        <v>594</v>
      </c>
      <c r="C385" s="40" t="s">
        <v>530</v>
      </c>
      <c r="D385" s="40" t="s">
        <v>389</v>
      </c>
      <c r="E385" s="41" t="s">
        <v>1042</v>
      </c>
      <c r="F385" s="40" t="s">
        <v>1043</v>
      </c>
      <c r="G385" s="42">
        <v>4</v>
      </c>
      <c r="H385" s="39" t="s">
        <v>1457</v>
      </c>
    </row>
    <row r="386" spans="1:8" ht="49.95" customHeight="1" thickBot="1" x14ac:dyDescent="0.35">
      <c r="A386" s="38">
        <v>385</v>
      </c>
      <c r="B386" s="40" t="s">
        <v>591</v>
      </c>
      <c r="C386" s="40" t="s">
        <v>526</v>
      </c>
      <c r="D386" s="40" t="s">
        <v>388</v>
      </c>
      <c r="E386" s="41" t="s">
        <v>1042</v>
      </c>
      <c r="F386" s="40" t="s">
        <v>1043</v>
      </c>
      <c r="G386" s="42">
        <v>2</v>
      </c>
      <c r="H386" s="39" t="s">
        <v>1458</v>
      </c>
    </row>
    <row r="387" spans="1:8" ht="49.95" customHeight="1" thickBot="1" x14ac:dyDescent="0.35">
      <c r="A387" s="38">
        <v>386</v>
      </c>
      <c r="B387" s="40" t="s">
        <v>1459</v>
      </c>
      <c r="C387" s="44" t="s">
        <v>1460</v>
      </c>
      <c r="D387" s="44" t="s">
        <v>388</v>
      </c>
      <c r="E387" s="41" t="s">
        <v>1042</v>
      </c>
      <c r="F387" s="44" t="s">
        <v>1043</v>
      </c>
      <c r="G387" s="52">
        <v>2</v>
      </c>
      <c r="H387" s="44" t="s">
        <v>1461</v>
      </c>
    </row>
    <row r="388" spans="1:8" ht="49.95" customHeight="1" thickBot="1" x14ac:dyDescent="0.35">
      <c r="A388" s="38">
        <v>387</v>
      </c>
      <c r="B388" s="41" t="s">
        <v>1157</v>
      </c>
      <c r="C388" s="44" t="s">
        <v>1462</v>
      </c>
      <c r="D388" s="44" t="s">
        <v>389</v>
      </c>
      <c r="E388" s="41" t="s">
        <v>1042</v>
      </c>
      <c r="F388" s="44" t="s">
        <v>1043</v>
      </c>
      <c r="G388" s="52">
        <v>3</v>
      </c>
      <c r="H388" s="44" t="s">
        <v>1463</v>
      </c>
    </row>
    <row r="389" spans="1:8" ht="49.95" customHeight="1" thickBot="1" x14ac:dyDescent="0.35">
      <c r="A389" s="38">
        <v>388</v>
      </c>
      <c r="B389" s="40" t="s">
        <v>1464</v>
      </c>
      <c r="C389" s="44" t="s">
        <v>1465</v>
      </c>
      <c r="D389" s="44" t="s">
        <v>389</v>
      </c>
      <c r="E389" s="41" t="s">
        <v>1042</v>
      </c>
      <c r="F389" s="44" t="s">
        <v>1043</v>
      </c>
      <c r="G389" s="52">
        <v>3</v>
      </c>
      <c r="H389" s="44" t="s">
        <v>1466</v>
      </c>
    </row>
    <row r="390" spans="1:8" ht="49.95" customHeight="1" thickBot="1" x14ac:dyDescent="0.35">
      <c r="A390" s="38">
        <v>389</v>
      </c>
      <c r="B390" s="40" t="s">
        <v>1467</v>
      </c>
      <c r="C390" s="44" t="s">
        <v>1468</v>
      </c>
      <c r="D390" s="44" t="s">
        <v>389</v>
      </c>
      <c r="E390" s="41" t="s">
        <v>1042</v>
      </c>
      <c r="F390" s="44" t="s">
        <v>1043</v>
      </c>
      <c r="G390" s="52">
        <v>3</v>
      </c>
      <c r="H390" s="44" t="s">
        <v>1469</v>
      </c>
    </row>
    <row r="391" spans="1:8" ht="49.95" customHeight="1" thickBot="1" x14ac:dyDescent="0.35">
      <c r="A391" s="38">
        <v>390</v>
      </c>
      <c r="B391" s="40" t="s">
        <v>1470</v>
      </c>
      <c r="C391" s="44" t="s">
        <v>1471</v>
      </c>
      <c r="D391" s="44" t="s">
        <v>389</v>
      </c>
      <c r="E391" s="41" t="s">
        <v>1042</v>
      </c>
      <c r="F391" s="44" t="s">
        <v>1043</v>
      </c>
      <c r="G391" s="52">
        <v>3</v>
      </c>
      <c r="H391" s="44" t="s">
        <v>1469</v>
      </c>
    </row>
    <row r="392" spans="1:8" ht="49.95" customHeight="1" thickBot="1" x14ac:dyDescent="0.35">
      <c r="A392" s="38">
        <v>391</v>
      </c>
      <c r="B392" s="40" t="s">
        <v>1432</v>
      </c>
      <c r="C392" s="44" t="s">
        <v>1472</v>
      </c>
      <c r="D392" s="44" t="s">
        <v>1473</v>
      </c>
      <c r="E392" s="41" t="s">
        <v>1042</v>
      </c>
      <c r="F392" s="44" t="s">
        <v>1043</v>
      </c>
      <c r="G392" s="52">
        <v>2</v>
      </c>
      <c r="H392" s="44" t="s">
        <v>1474</v>
      </c>
    </row>
    <row r="393" spans="1:8" ht="49.95" customHeight="1" thickBot="1" x14ac:dyDescent="0.35">
      <c r="A393" s="38">
        <v>392</v>
      </c>
      <c r="B393" s="41" t="s">
        <v>1157</v>
      </c>
      <c r="C393" s="44" t="s">
        <v>1475</v>
      </c>
      <c r="D393" s="44" t="s">
        <v>389</v>
      </c>
      <c r="E393" s="41" t="s">
        <v>1042</v>
      </c>
      <c r="F393" s="44" t="s">
        <v>1043</v>
      </c>
      <c r="G393" s="52">
        <v>6</v>
      </c>
      <c r="H393" s="44" t="s">
        <v>1476</v>
      </c>
    </row>
    <row r="394" spans="1:8" ht="49.95" customHeight="1" thickBot="1" x14ac:dyDescent="0.35">
      <c r="A394" s="38">
        <v>393</v>
      </c>
      <c r="B394" s="41" t="s">
        <v>1157</v>
      </c>
      <c r="C394" s="44" t="s">
        <v>1477</v>
      </c>
      <c r="D394" s="44" t="s">
        <v>389</v>
      </c>
      <c r="E394" s="41" t="s">
        <v>1042</v>
      </c>
      <c r="F394" s="44" t="s">
        <v>1043</v>
      </c>
      <c r="G394" s="52">
        <v>3</v>
      </c>
      <c r="H394" s="44" t="s">
        <v>1478</v>
      </c>
    </row>
    <row r="395" spans="1:8" ht="49.95" customHeight="1" thickBot="1" x14ac:dyDescent="0.35">
      <c r="A395" s="38">
        <v>394</v>
      </c>
      <c r="B395" s="41" t="s">
        <v>1157</v>
      </c>
      <c r="C395" s="44" t="s">
        <v>1479</v>
      </c>
      <c r="D395" s="44" t="s">
        <v>1480</v>
      </c>
      <c r="E395" s="41" t="s">
        <v>1042</v>
      </c>
      <c r="F395" s="44" t="s">
        <v>1043</v>
      </c>
      <c r="G395" s="52">
        <v>3</v>
      </c>
      <c r="H395" s="44" t="s">
        <v>1481</v>
      </c>
    </row>
    <row r="396" spans="1:8" ht="49.95" customHeight="1" thickBot="1" x14ac:dyDescent="0.35">
      <c r="A396" s="38">
        <v>395</v>
      </c>
      <c r="B396" s="41" t="s">
        <v>1157</v>
      </c>
      <c r="C396" s="44" t="s">
        <v>1482</v>
      </c>
      <c r="D396" s="44" t="s">
        <v>531</v>
      </c>
      <c r="E396" s="41" t="s">
        <v>1042</v>
      </c>
      <c r="F396" s="44" t="s">
        <v>1043</v>
      </c>
      <c r="G396" s="52">
        <v>3</v>
      </c>
      <c r="H396" s="44" t="s">
        <v>1483</v>
      </c>
    </row>
    <row r="397" spans="1:8" ht="49.95" customHeight="1" thickBot="1" x14ac:dyDescent="0.35">
      <c r="A397" s="38">
        <v>396</v>
      </c>
      <c r="B397" s="40" t="s">
        <v>1484</v>
      </c>
      <c r="C397" s="44" t="s">
        <v>1485</v>
      </c>
      <c r="D397" s="44" t="s">
        <v>531</v>
      </c>
      <c r="E397" s="41" t="s">
        <v>1042</v>
      </c>
      <c r="F397" s="44" t="s">
        <v>1043</v>
      </c>
      <c r="G397" s="52">
        <v>3</v>
      </c>
      <c r="H397" s="44" t="s">
        <v>1486</v>
      </c>
    </row>
    <row r="398" spans="1:8" ht="49.95" customHeight="1" thickBot="1" x14ac:dyDescent="0.35">
      <c r="A398" s="38">
        <v>397</v>
      </c>
      <c r="B398" s="40" t="s">
        <v>1487</v>
      </c>
      <c r="C398" s="44" t="s">
        <v>1488</v>
      </c>
      <c r="D398" s="44" t="s">
        <v>531</v>
      </c>
      <c r="E398" s="41" t="s">
        <v>1042</v>
      </c>
      <c r="F398" s="44" t="s">
        <v>1043</v>
      </c>
      <c r="G398" s="52">
        <v>3</v>
      </c>
      <c r="H398" s="44" t="s">
        <v>1489</v>
      </c>
    </row>
    <row r="399" spans="1:8" ht="49.95" customHeight="1" thickBot="1" x14ac:dyDescent="0.35">
      <c r="A399" s="38">
        <v>398</v>
      </c>
      <c r="B399" s="44" t="s">
        <v>1490</v>
      </c>
      <c r="C399" s="44" t="s">
        <v>1491</v>
      </c>
      <c r="D399" s="44" t="s">
        <v>531</v>
      </c>
      <c r="E399" s="41" t="s">
        <v>1042</v>
      </c>
      <c r="F399" s="44" t="s">
        <v>1043</v>
      </c>
      <c r="G399" s="52">
        <v>3</v>
      </c>
      <c r="H399" s="44" t="s">
        <v>1492</v>
      </c>
    </row>
    <row r="400" spans="1:8" ht="49.95" customHeight="1" thickBot="1" x14ac:dyDescent="0.35">
      <c r="A400" s="38">
        <v>399</v>
      </c>
      <c r="B400" s="44" t="s">
        <v>1493</v>
      </c>
      <c r="C400" s="44" t="s">
        <v>975</v>
      </c>
      <c r="D400" s="44" t="s">
        <v>388</v>
      </c>
      <c r="E400" s="41" t="s">
        <v>1042</v>
      </c>
      <c r="F400" s="44" t="s">
        <v>1043</v>
      </c>
      <c r="G400" s="52">
        <v>2</v>
      </c>
      <c r="H400" s="44" t="s">
        <v>1494</v>
      </c>
    </row>
    <row r="401" spans="1:8" ht="49.95" customHeight="1" thickBot="1" x14ac:dyDescent="0.35">
      <c r="A401" s="38">
        <v>400</v>
      </c>
      <c r="B401" s="44" t="s">
        <v>995</v>
      </c>
      <c r="C401" s="44" t="s">
        <v>1495</v>
      </c>
      <c r="D401" s="44" t="s">
        <v>389</v>
      </c>
      <c r="E401" s="41" t="s">
        <v>1042</v>
      </c>
      <c r="F401" s="44" t="s">
        <v>1043</v>
      </c>
      <c r="G401" s="52">
        <v>3</v>
      </c>
      <c r="H401" s="44" t="s">
        <v>1496</v>
      </c>
    </row>
    <row r="402" spans="1:8" ht="49.95" customHeight="1" thickBot="1" x14ac:dyDescent="0.35">
      <c r="A402" s="38">
        <v>401</v>
      </c>
      <c r="B402" s="41" t="s">
        <v>1157</v>
      </c>
      <c r="C402" s="44" t="s">
        <v>1497</v>
      </c>
      <c r="D402" s="44" t="s">
        <v>1480</v>
      </c>
      <c r="E402" s="41" t="s">
        <v>1042</v>
      </c>
      <c r="F402" s="44" t="s">
        <v>1043</v>
      </c>
      <c r="G402" s="52">
        <v>4</v>
      </c>
      <c r="H402" s="44" t="s">
        <v>1498</v>
      </c>
    </row>
    <row r="403" spans="1:8" ht="49.95" customHeight="1" thickBot="1" x14ac:dyDescent="0.35">
      <c r="A403" s="38">
        <v>402</v>
      </c>
      <c r="B403" s="44" t="s">
        <v>1025</v>
      </c>
      <c r="C403" s="44" t="s">
        <v>1499</v>
      </c>
      <c r="D403" s="44" t="s">
        <v>531</v>
      </c>
      <c r="E403" s="41" t="s">
        <v>1042</v>
      </c>
      <c r="F403" s="44" t="s">
        <v>1043</v>
      </c>
      <c r="G403" s="52">
        <v>3</v>
      </c>
      <c r="H403" s="44" t="s">
        <v>1500</v>
      </c>
    </row>
    <row r="404" spans="1:8" ht="49.95" customHeight="1" thickBot="1" x14ac:dyDescent="0.35">
      <c r="A404" s="38">
        <v>403</v>
      </c>
      <c r="B404" s="44" t="s">
        <v>956</v>
      </c>
      <c r="C404" s="44" t="s">
        <v>1501</v>
      </c>
      <c r="D404" s="44" t="s">
        <v>388</v>
      </c>
      <c r="E404" s="41" t="s">
        <v>1042</v>
      </c>
      <c r="F404" s="44" t="s">
        <v>1043</v>
      </c>
      <c r="G404" s="52">
        <v>2</v>
      </c>
      <c r="H404" s="44" t="s">
        <v>1502</v>
      </c>
    </row>
    <row r="405" spans="1:8" ht="49.95" customHeight="1" thickBot="1" x14ac:dyDescent="0.35">
      <c r="A405" s="38">
        <v>404</v>
      </c>
      <c r="B405" s="40" t="s">
        <v>1503</v>
      </c>
      <c r="C405" s="44" t="s">
        <v>1504</v>
      </c>
      <c r="D405" s="44" t="s">
        <v>1480</v>
      </c>
      <c r="E405" s="41" t="s">
        <v>1042</v>
      </c>
      <c r="F405" s="44" t="s">
        <v>1043</v>
      </c>
      <c r="G405" s="52">
        <v>3</v>
      </c>
      <c r="H405" s="44" t="s">
        <v>1505</v>
      </c>
    </row>
    <row r="406" spans="1:8" ht="49.95" customHeight="1" thickBot="1" x14ac:dyDescent="0.35">
      <c r="A406" s="38">
        <v>405</v>
      </c>
      <c r="B406" s="41" t="s">
        <v>1157</v>
      </c>
      <c r="C406" s="44" t="s">
        <v>1506</v>
      </c>
      <c r="D406" s="44" t="s">
        <v>388</v>
      </c>
      <c r="E406" s="41" t="s">
        <v>1042</v>
      </c>
      <c r="F406" s="44" t="s">
        <v>1043</v>
      </c>
      <c r="G406" s="52">
        <v>4</v>
      </c>
      <c r="H406" s="44" t="s">
        <v>1507</v>
      </c>
    </row>
    <row r="407" spans="1:8" ht="49.95" customHeight="1" thickBot="1" x14ac:dyDescent="0.35">
      <c r="A407" s="38">
        <v>406</v>
      </c>
      <c r="B407" s="40" t="s">
        <v>1508</v>
      </c>
      <c r="C407" s="44" t="s">
        <v>1509</v>
      </c>
      <c r="D407" s="44" t="s">
        <v>531</v>
      </c>
      <c r="E407" s="41" t="s">
        <v>1042</v>
      </c>
      <c r="F407" s="44" t="s">
        <v>1043</v>
      </c>
      <c r="G407" s="52">
        <v>3</v>
      </c>
      <c r="H407" s="44" t="s">
        <v>1510</v>
      </c>
    </row>
    <row r="408" spans="1:8" ht="49.95" customHeight="1" thickBot="1" x14ac:dyDescent="0.35">
      <c r="A408" s="38">
        <v>407</v>
      </c>
      <c r="B408" s="40" t="s">
        <v>1511</v>
      </c>
      <c r="C408" s="44" t="s">
        <v>1512</v>
      </c>
      <c r="D408" s="44" t="s">
        <v>531</v>
      </c>
      <c r="E408" s="41" t="s">
        <v>1042</v>
      </c>
      <c r="F408" s="44" t="s">
        <v>1043</v>
      </c>
      <c r="G408" s="52">
        <v>2</v>
      </c>
      <c r="H408" s="44" t="s">
        <v>1513</v>
      </c>
    </row>
    <row r="409" spans="1:8" ht="49.95" customHeight="1" thickBot="1" x14ac:dyDescent="0.35">
      <c r="A409" s="38">
        <v>408</v>
      </c>
      <c r="B409" s="44" t="s">
        <v>1514</v>
      </c>
      <c r="C409" s="44" t="s">
        <v>1515</v>
      </c>
      <c r="D409" s="44" t="s">
        <v>531</v>
      </c>
      <c r="E409" s="41" t="s">
        <v>1051</v>
      </c>
      <c r="F409" s="44" t="s">
        <v>1043</v>
      </c>
      <c r="G409" s="52">
        <v>2</v>
      </c>
      <c r="H409" s="44" t="s">
        <v>1516</v>
      </c>
    </row>
    <row r="410" spans="1:8" ht="49.95" customHeight="1" thickBot="1" x14ac:dyDescent="0.35">
      <c r="A410" s="38">
        <v>409</v>
      </c>
      <c r="B410" s="44" t="s">
        <v>1432</v>
      </c>
      <c r="C410" s="44" t="s">
        <v>1517</v>
      </c>
      <c r="D410" s="44" t="s">
        <v>1518</v>
      </c>
      <c r="E410" s="44" t="s">
        <v>1042</v>
      </c>
      <c r="F410" s="44" t="s">
        <v>1043</v>
      </c>
      <c r="G410" s="52">
        <v>2</v>
      </c>
      <c r="H410" s="44" t="s">
        <v>1519</v>
      </c>
    </row>
    <row r="411" spans="1:8" ht="49.95" customHeight="1" thickBot="1" x14ac:dyDescent="0.35">
      <c r="A411" s="38">
        <v>410</v>
      </c>
      <c r="B411" s="44" t="s">
        <v>1520</v>
      </c>
      <c r="C411" s="44" t="s">
        <v>1521</v>
      </c>
      <c r="D411" s="44" t="s">
        <v>388</v>
      </c>
      <c r="E411" s="41" t="s">
        <v>1042</v>
      </c>
      <c r="F411" s="44" t="s">
        <v>1043</v>
      </c>
      <c r="G411" s="52">
        <v>3</v>
      </c>
      <c r="H411" s="44" t="s">
        <v>1522</v>
      </c>
    </row>
    <row r="412" spans="1:8" ht="49.95" customHeight="1" thickBot="1" x14ac:dyDescent="0.35">
      <c r="A412" s="38">
        <v>411</v>
      </c>
      <c r="B412" s="44" t="s">
        <v>1523</v>
      </c>
      <c r="C412" s="44" t="s">
        <v>1501</v>
      </c>
      <c r="D412" s="44" t="s">
        <v>1524</v>
      </c>
      <c r="E412" s="44" t="s">
        <v>1033</v>
      </c>
      <c r="F412" s="44" t="s">
        <v>1043</v>
      </c>
      <c r="G412" s="52">
        <v>2</v>
      </c>
      <c r="H412" s="44" t="s">
        <v>1502</v>
      </c>
    </row>
    <row r="413" spans="1:8" ht="49.95" customHeight="1" thickBot="1" x14ac:dyDescent="0.35">
      <c r="A413" s="38">
        <v>412</v>
      </c>
      <c r="B413" s="44" t="s">
        <v>1525</v>
      </c>
      <c r="C413" s="44" t="s">
        <v>987</v>
      </c>
      <c r="D413" s="44" t="s">
        <v>1473</v>
      </c>
      <c r="E413" s="41" t="s">
        <v>1042</v>
      </c>
      <c r="F413" s="44" t="s">
        <v>1043</v>
      </c>
      <c r="G413" s="52">
        <v>2</v>
      </c>
      <c r="H413" s="44" t="s">
        <v>1526</v>
      </c>
    </row>
    <row r="414" spans="1:8" ht="49.95" customHeight="1" thickBot="1" x14ac:dyDescent="0.35">
      <c r="A414" s="38">
        <v>413</v>
      </c>
      <c r="B414" s="44" t="s">
        <v>1157</v>
      </c>
      <c r="C414" s="44" t="s">
        <v>1527</v>
      </c>
      <c r="D414" s="44" t="s">
        <v>389</v>
      </c>
      <c r="E414" s="41" t="s">
        <v>1042</v>
      </c>
      <c r="F414" s="44" t="s">
        <v>1043</v>
      </c>
      <c r="G414" s="52">
        <v>4</v>
      </c>
      <c r="H414" s="44" t="s">
        <v>1528</v>
      </c>
    </row>
    <row r="415" spans="1:8" ht="49.95" customHeight="1" thickBot="1" x14ac:dyDescent="0.35">
      <c r="A415" s="38">
        <v>414</v>
      </c>
      <c r="B415" s="44" t="s">
        <v>1529</v>
      </c>
      <c r="C415" s="44" t="s">
        <v>1530</v>
      </c>
      <c r="D415" s="44" t="s">
        <v>531</v>
      </c>
      <c r="E415" s="41" t="s">
        <v>1042</v>
      </c>
      <c r="F415" s="44" t="s">
        <v>1043</v>
      </c>
      <c r="G415" s="52">
        <v>3</v>
      </c>
      <c r="H415" s="44" t="s">
        <v>1531</v>
      </c>
    </row>
    <row r="416" spans="1:8" ht="49.95" customHeight="1" thickBot="1" x14ac:dyDescent="0.35">
      <c r="A416" s="38">
        <v>415</v>
      </c>
      <c r="B416" s="44" t="s">
        <v>207</v>
      </c>
      <c r="C416" s="44" t="s">
        <v>1532</v>
      </c>
      <c r="D416" s="44" t="s">
        <v>1533</v>
      </c>
      <c r="E416" s="41" t="s">
        <v>1534</v>
      </c>
      <c r="F416" s="44" t="s">
        <v>1043</v>
      </c>
      <c r="G416" s="52">
        <v>2</v>
      </c>
      <c r="H416" s="44" t="s">
        <v>1535</v>
      </c>
    </row>
    <row r="417" spans="1:8" ht="49.95" customHeight="1" thickBot="1" x14ac:dyDescent="0.35">
      <c r="A417" s="38">
        <v>416</v>
      </c>
      <c r="B417" s="44" t="s">
        <v>1536</v>
      </c>
      <c r="C417" s="44" t="s">
        <v>1537</v>
      </c>
      <c r="D417" s="44" t="s">
        <v>389</v>
      </c>
      <c r="E417" s="44" t="s">
        <v>1051</v>
      </c>
      <c r="F417" s="44" t="s">
        <v>1043</v>
      </c>
      <c r="G417" s="52">
        <v>2</v>
      </c>
      <c r="H417" s="44" t="s">
        <v>1538</v>
      </c>
    </row>
    <row r="418" spans="1:8" ht="49.95" customHeight="1" thickBot="1" x14ac:dyDescent="0.35">
      <c r="A418" s="38">
        <v>417</v>
      </c>
      <c r="B418" s="44" t="s">
        <v>1539</v>
      </c>
      <c r="C418" s="44" t="s">
        <v>1540</v>
      </c>
      <c r="D418" s="44" t="s">
        <v>531</v>
      </c>
      <c r="E418" s="44" t="s">
        <v>1541</v>
      </c>
      <c r="F418" s="44" t="s">
        <v>1043</v>
      </c>
      <c r="G418" s="52">
        <v>2</v>
      </c>
      <c r="H418" s="44" t="s">
        <v>1542</v>
      </c>
    </row>
    <row r="419" spans="1:8" ht="49.95" customHeight="1" thickBot="1" x14ac:dyDescent="0.35">
      <c r="A419" s="38">
        <v>418</v>
      </c>
      <c r="B419" s="44" t="s">
        <v>1157</v>
      </c>
      <c r="C419" s="44" t="s">
        <v>1543</v>
      </c>
      <c r="D419" s="44" t="s">
        <v>388</v>
      </c>
      <c r="E419" s="41" t="s">
        <v>1042</v>
      </c>
      <c r="F419" s="44" t="s">
        <v>1043</v>
      </c>
      <c r="G419" s="52">
        <v>2</v>
      </c>
      <c r="H419" s="44" t="s">
        <v>1544</v>
      </c>
    </row>
    <row r="420" spans="1:8" ht="49.95" customHeight="1" thickBot="1" x14ac:dyDescent="0.35">
      <c r="A420" s="38">
        <v>419</v>
      </c>
      <c r="B420" s="44" t="s">
        <v>1006</v>
      </c>
      <c r="C420" s="44" t="s">
        <v>1545</v>
      </c>
      <c r="D420" s="44" t="s">
        <v>389</v>
      </c>
      <c r="E420" s="41" t="s">
        <v>1042</v>
      </c>
      <c r="F420" s="44" t="s">
        <v>1043</v>
      </c>
      <c r="G420" s="52">
        <v>2</v>
      </c>
      <c r="H420" s="44" t="s">
        <v>1546</v>
      </c>
    </row>
    <row r="421" spans="1:8" ht="49.95" customHeight="1" thickBot="1" x14ac:dyDescent="0.35">
      <c r="A421" s="38">
        <v>420</v>
      </c>
      <c r="B421" s="44" t="s">
        <v>341</v>
      </c>
      <c r="C421" s="44" t="s">
        <v>1547</v>
      </c>
      <c r="D421" s="44" t="s">
        <v>1548</v>
      </c>
      <c r="E421" s="41" t="s">
        <v>1042</v>
      </c>
      <c r="F421" s="44" t="s">
        <v>1043</v>
      </c>
      <c r="G421" s="52">
        <v>2</v>
      </c>
      <c r="H421" s="44" t="s">
        <v>1549</v>
      </c>
    </row>
    <row r="422" spans="1:8" ht="49.95" customHeight="1" thickBot="1" x14ac:dyDescent="0.35">
      <c r="A422" s="38">
        <v>421</v>
      </c>
      <c r="B422" s="44" t="s">
        <v>1021</v>
      </c>
      <c r="C422" s="44" t="s">
        <v>1550</v>
      </c>
      <c r="D422" s="44" t="s">
        <v>388</v>
      </c>
      <c r="E422" s="41" t="s">
        <v>1551</v>
      </c>
      <c r="F422" s="44" t="s">
        <v>1043</v>
      </c>
      <c r="G422" s="52">
        <v>2</v>
      </c>
      <c r="H422" s="44" t="s">
        <v>1552</v>
      </c>
    </row>
    <row r="423" spans="1:8" ht="49.95" customHeight="1" thickBot="1" x14ac:dyDescent="0.35">
      <c r="A423" s="38">
        <v>422</v>
      </c>
      <c r="B423" s="44" t="s">
        <v>1005</v>
      </c>
      <c r="C423" s="44" t="s">
        <v>1553</v>
      </c>
      <c r="D423" s="44" t="s">
        <v>389</v>
      </c>
      <c r="E423" s="41" t="s">
        <v>1042</v>
      </c>
      <c r="F423" s="44" t="s">
        <v>1043</v>
      </c>
      <c r="G423" s="52">
        <v>2</v>
      </c>
      <c r="H423" s="44" t="s">
        <v>1554</v>
      </c>
    </row>
    <row r="424" spans="1:8" ht="49.95" customHeight="1" thickBot="1" x14ac:dyDescent="0.35">
      <c r="A424" s="38">
        <v>423</v>
      </c>
      <c r="B424" s="44" t="s">
        <v>1157</v>
      </c>
      <c r="C424" s="44" t="s">
        <v>1555</v>
      </c>
      <c r="D424" s="44" t="s">
        <v>389</v>
      </c>
      <c r="E424" s="41" t="s">
        <v>1556</v>
      </c>
      <c r="F424" s="44" t="s">
        <v>1043</v>
      </c>
      <c r="G424" s="52">
        <v>4</v>
      </c>
      <c r="H424" s="44" t="s">
        <v>1557</v>
      </c>
    </row>
    <row r="425" spans="1:8" ht="49.95" customHeight="1" thickBot="1" x14ac:dyDescent="0.35">
      <c r="A425" s="38">
        <v>424</v>
      </c>
      <c r="B425" s="44" t="s">
        <v>1558</v>
      </c>
      <c r="C425" s="44" t="s">
        <v>1559</v>
      </c>
      <c r="D425" s="44" t="s">
        <v>1560</v>
      </c>
      <c r="E425" s="41" t="s">
        <v>1042</v>
      </c>
      <c r="F425" s="44" t="s">
        <v>1043</v>
      </c>
      <c r="G425" s="52">
        <v>3</v>
      </c>
      <c r="H425" s="44" t="s">
        <v>1561</v>
      </c>
    </row>
    <row r="426" spans="1:8" ht="49.95" customHeight="1" thickBot="1" x14ac:dyDescent="0.35">
      <c r="A426" s="38">
        <v>425</v>
      </c>
      <c r="B426" s="44" t="s">
        <v>1157</v>
      </c>
      <c r="C426" s="44" t="s">
        <v>1562</v>
      </c>
      <c r="D426" s="44" t="s">
        <v>389</v>
      </c>
      <c r="E426" s="41" t="s">
        <v>1042</v>
      </c>
      <c r="F426" s="44" t="s">
        <v>1043</v>
      </c>
      <c r="G426" s="52">
        <v>4</v>
      </c>
      <c r="H426" s="44" t="s">
        <v>1563</v>
      </c>
    </row>
    <row r="427" spans="1:8" ht="49.95" customHeight="1" thickBot="1" x14ac:dyDescent="0.35">
      <c r="A427" s="38">
        <v>426</v>
      </c>
      <c r="B427" s="44" t="s">
        <v>1564</v>
      </c>
      <c r="C427" s="44" t="s">
        <v>1565</v>
      </c>
      <c r="D427" s="44" t="s">
        <v>389</v>
      </c>
      <c r="E427" s="41" t="s">
        <v>1042</v>
      </c>
      <c r="F427" s="44" t="s">
        <v>1043</v>
      </c>
      <c r="G427" s="52">
        <v>3</v>
      </c>
      <c r="H427" s="44" t="s">
        <v>1566</v>
      </c>
    </row>
    <row r="428" spans="1:8" ht="49.95" customHeight="1" thickBot="1" x14ac:dyDescent="0.35">
      <c r="A428" s="38">
        <v>427</v>
      </c>
      <c r="B428" s="44" t="s">
        <v>1567</v>
      </c>
      <c r="C428" s="44" t="s">
        <v>1568</v>
      </c>
      <c r="D428" s="44" t="s">
        <v>389</v>
      </c>
      <c r="E428" s="41" t="s">
        <v>1042</v>
      </c>
      <c r="F428" s="44" t="s">
        <v>1043</v>
      </c>
      <c r="G428" s="52">
        <v>3</v>
      </c>
      <c r="H428" s="44" t="s">
        <v>1569</v>
      </c>
    </row>
    <row r="429" spans="1:8" ht="49.95" customHeight="1" thickBot="1" x14ac:dyDescent="0.35">
      <c r="A429" s="38">
        <v>428</v>
      </c>
      <c r="B429" s="44" t="s">
        <v>1157</v>
      </c>
      <c r="C429" s="44" t="s">
        <v>1570</v>
      </c>
      <c r="D429" s="44" t="s">
        <v>389</v>
      </c>
      <c r="E429" s="41" t="s">
        <v>1042</v>
      </c>
      <c r="F429" s="44" t="s">
        <v>1043</v>
      </c>
      <c r="G429" s="52">
        <v>4</v>
      </c>
      <c r="H429" s="44" t="s">
        <v>1571</v>
      </c>
    </row>
    <row r="430" spans="1:8" ht="49.95" customHeight="1" thickBot="1" x14ac:dyDescent="0.35">
      <c r="A430" s="38">
        <v>429</v>
      </c>
      <c r="B430" s="44" t="s">
        <v>1157</v>
      </c>
      <c r="C430" s="44" t="s">
        <v>1572</v>
      </c>
      <c r="D430" s="44" t="s">
        <v>388</v>
      </c>
      <c r="E430" s="53" t="s">
        <v>1573</v>
      </c>
      <c r="F430" s="44" t="s">
        <v>1043</v>
      </c>
      <c r="G430" s="52">
        <v>4</v>
      </c>
      <c r="H430" s="44" t="s">
        <v>1574</v>
      </c>
    </row>
    <row r="431" spans="1:8" ht="49.95" customHeight="1" thickBot="1" x14ac:dyDescent="0.35">
      <c r="A431" s="38">
        <v>430</v>
      </c>
      <c r="B431" s="44" t="s">
        <v>1020</v>
      </c>
      <c r="C431" s="44" t="s">
        <v>1575</v>
      </c>
      <c r="D431" s="44" t="s">
        <v>388</v>
      </c>
      <c r="E431" s="41" t="s">
        <v>1042</v>
      </c>
      <c r="F431" s="44" t="s">
        <v>1043</v>
      </c>
      <c r="G431" s="52">
        <v>2</v>
      </c>
      <c r="H431" s="44" t="s">
        <v>1576</v>
      </c>
    </row>
    <row r="432" spans="1:8" ht="49.95" customHeight="1" thickBot="1" x14ac:dyDescent="0.35">
      <c r="A432" s="38">
        <v>431</v>
      </c>
      <c r="B432" s="44" t="s">
        <v>1577</v>
      </c>
      <c r="C432" s="44" t="s">
        <v>1578</v>
      </c>
      <c r="D432" s="44" t="s">
        <v>389</v>
      </c>
      <c r="E432" s="41" t="s">
        <v>1042</v>
      </c>
      <c r="F432" s="44" t="s">
        <v>1043</v>
      </c>
      <c r="G432" s="52">
        <v>2</v>
      </c>
      <c r="H432" s="44" t="s">
        <v>1579</v>
      </c>
    </row>
    <row r="433" spans="1:8" ht="49.95" customHeight="1" thickBot="1" x14ac:dyDescent="0.35">
      <c r="A433" s="38">
        <v>432</v>
      </c>
      <c r="B433" s="44" t="s">
        <v>1580</v>
      </c>
      <c r="C433" s="44" t="s">
        <v>1581</v>
      </c>
      <c r="D433" s="44" t="s">
        <v>1480</v>
      </c>
      <c r="E433" s="41" t="s">
        <v>1042</v>
      </c>
      <c r="F433" s="44" t="s">
        <v>1043</v>
      </c>
      <c r="G433" s="52">
        <v>3</v>
      </c>
      <c r="H433" s="44" t="s">
        <v>1582</v>
      </c>
    </row>
    <row r="434" spans="1:8" ht="49.95" customHeight="1" thickBot="1" x14ac:dyDescent="0.35">
      <c r="A434" s="38">
        <v>433</v>
      </c>
      <c r="B434" s="44" t="s">
        <v>1157</v>
      </c>
      <c r="C434" s="44" t="s">
        <v>1583</v>
      </c>
      <c r="D434" s="44" t="s">
        <v>389</v>
      </c>
      <c r="E434" s="41" t="s">
        <v>1042</v>
      </c>
      <c r="F434" s="44" t="s">
        <v>1043</v>
      </c>
      <c r="G434" s="52">
        <v>3</v>
      </c>
      <c r="H434" s="44" t="s">
        <v>1584</v>
      </c>
    </row>
    <row r="435" spans="1:8" ht="49.95" customHeight="1" thickBot="1" x14ac:dyDescent="0.35">
      <c r="A435" s="38">
        <v>434</v>
      </c>
      <c r="B435" s="44" t="s">
        <v>1157</v>
      </c>
      <c r="C435" s="44" t="s">
        <v>1585</v>
      </c>
      <c r="D435" s="44" t="s">
        <v>389</v>
      </c>
      <c r="E435" s="41" t="s">
        <v>1042</v>
      </c>
      <c r="F435" s="44" t="s">
        <v>1043</v>
      </c>
      <c r="G435" s="52">
        <v>3</v>
      </c>
      <c r="H435" s="44" t="s">
        <v>1586</v>
      </c>
    </row>
    <row r="436" spans="1:8" ht="49.95" customHeight="1" thickBot="1" x14ac:dyDescent="0.35">
      <c r="A436" s="38">
        <v>435</v>
      </c>
      <c r="B436" s="44" t="s">
        <v>1157</v>
      </c>
      <c r="C436" s="44" t="s">
        <v>1587</v>
      </c>
      <c r="D436" s="44" t="s">
        <v>389</v>
      </c>
      <c r="E436" s="41" t="s">
        <v>1042</v>
      </c>
      <c r="F436" s="44" t="s">
        <v>1043</v>
      </c>
      <c r="G436" s="52">
        <v>3</v>
      </c>
      <c r="H436" s="44" t="s">
        <v>1588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Cara Pengisian</vt:lpstr>
      <vt:lpstr>Main</vt:lpstr>
      <vt:lpstr>Main Data Kunjungan</vt:lpstr>
      <vt:lpstr>Tgl Maintenance untuk Kontrak</vt:lpstr>
      <vt:lpstr>Data Garansi</vt:lpstr>
      <vt:lpstr>Counting Free</vt:lpstr>
      <vt:lpstr>Counting Kontrak</vt:lpstr>
      <vt:lpstr>Tgl MC Free</vt:lpstr>
      <vt:lpstr>Data New Kontrak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 Project KL</cp:lastModifiedBy>
  <dcterms:created xsi:type="dcterms:W3CDTF">2024-05-30T03:10:09Z</dcterms:created>
  <dcterms:modified xsi:type="dcterms:W3CDTF">2026-05-08T09:16:52Z</dcterms:modified>
</cp:coreProperties>
</file>